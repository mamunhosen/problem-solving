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ECHOLOGYX\Downloads\"/>
    </mc:Choice>
  </mc:AlternateContent>
  <xr:revisionPtr revIDLastSave="0" documentId="13_ncr:1_{C528C3D3-853F-4627-AB5F-1B6F9EE02B61}" xr6:coauthVersionLast="47" xr6:coauthVersionMax="47" xr10:uidLastSave="{00000000-0000-0000-0000-000000000000}"/>
  <bookViews>
    <workbookView xWindow="-28920" yWindow="-45" windowWidth="29040" windowHeight="15720" firstSheet="1" activeTab="4" xr2:uid="{F8195C18-025E-455C-825D-0C27CC01D1FC}"/>
  </bookViews>
  <sheets>
    <sheet name="Invoice proposed format A" sheetId="9" r:id="rId1"/>
    <sheet name="Packing List proposed format A" sheetId="10" r:id="rId2"/>
    <sheet name="Packing List proposed format A2" sheetId="13" r:id="rId3"/>
    <sheet name="Invoice proposed format B" sheetId="11" r:id="rId4"/>
    <sheet name="Packing List proposed format B" sheetId="12" r:id="rId5"/>
    <sheet name="Invoice" sheetId="1" r:id="rId6"/>
    <sheet name="Packing List" sheetId="2" r:id="rId7"/>
    <sheet name="VGM" sheetId="6" state="hidden" r:id="rId8"/>
    <sheet name="Draft" sheetId="8" state="hidden" r:id="rId9"/>
    <sheet name="CIF" sheetId="3" state="hidden" r:id="rId10"/>
  </sheets>
  <definedNames>
    <definedName name="_xlnm._FilterDatabase" localSheetId="5" hidden="1">Invoice!$A$29:$P$30</definedName>
    <definedName name="_xlnm._FilterDatabase" localSheetId="0" hidden="1">'Invoice proposed format A'!$A$2:$P$3</definedName>
    <definedName name="_xlnm._FilterDatabase" localSheetId="3" hidden="1">'Invoice proposed format B'!$A$2:$P$3</definedName>
    <definedName name="Brands" localSheetId="7">#REF!</definedName>
    <definedName name="Brands">#REF!</definedName>
    <definedName name="Destinations" localSheetId="7">#REF!</definedName>
    <definedName name="Destinations">#REF!</definedName>
    <definedName name="Funds" localSheetId="7">#REF!</definedName>
    <definedName name="Funds">#REF!</definedName>
    <definedName name="_xlnm.Print_Area" localSheetId="5">Invoice!$A$1:$N$51</definedName>
    <definedName name="_xlnm.Print_Area" localSheetId="0">'Invoice proposed format A'!$A$1:$N$4</definedName>
    <definedName name="_xlnm.Print_Area" localSheetId="3">'Invoice proposed format B'!$A$1:$N$4</definedName>
    <definedName name="_xlnm.Print_Area" localSheetId="6">'Packing List'!$A$1:$O$76</definedName>
    <definedName name="_xlnm.Print_Area" localSheetId="1">'Packing List proposed format A'!$A$1:$O$16</definedName>
    <definedName name="_xlnm.Print_Area" localSheetId="2">'Packing List proposed format A2'!$A$1:$O$14</definedName>
    <definedName name="_xlnm.Print_Area" localSheetId="4">'Packing List proposed format B'!$A$1:$O$24</definedName>
    <definedName name="_xlnm.Print_Area" localSheetId="7">VGM!$A$1:$K$44</definedName>
  </definedNames>
  <calcPr calcId="181029"/>
  <fileRecoveryPr autoRecover="0"/>
</workbook>
</file>

<file path=xl/calcChain.xml><?xml version="1.0" encoding="utf-8"?>
<calcChain xmlns="http://schemas.openxmlformats.org/spreadsheetml/2006/main">
  <c r="F13" i="13" l="1"/>
  <c r="H12" i="13"/>
  <c r="H11" i="13"/>
  <c r="H10" i="13"/>
  <c r="V9" i="13"/>
  <c r="H9" i="13"/>
  <c r="V8" i="13"/>
  <c r="H8" i="13"/>
  <c r="V7" i="13"/>
  <c r="S7" i="13"/>
  <c r="P7" i="13"/>
  <c r="R7" i="13" s="1"/>
  <c r="H7" i="13"/>
  <c r="V6" i="13"/>
  <c r="H6" i="13"/>
  <c r="U5" i="13"/>
  <c r="X5" i="13" s="1"/>
  <c r="S5" i="13"/>
  <c r="P5" i="13"/>
  <c r="R5" i="13" s="1"/>
  <c r="H5" i="13"/>
  <c r="S4" i="13"/>
  <c r="S13" i="13" s="1"/>
  <c r="G14" i="13" s="1"/>
  <c r="P4" i="13"/>
  <c r="R4" i="13" s="1"/>
  <c r="H4" i="13"/>
  <c r="E4" i="13"/>
  <c r="E5" i="13" s="1"/>
  <c r="B4" i="13"/>
  <c r="A4" i="13"/>
  <c r="G1" i="13"/>
  <c r="F1" i="13"/>
  <c r="D1" i="13"/>
  <c r="B1" i="13"/>
  <c r="W2" i="13" s="1"/>
  <c r="L24" i="12"/>
  <c r="L23" i="12"/>
  <c r="L22" i="12"/>
  <c r="L21" i="12"/>
  <c r="L20" i="12"/>
  <c r="L19" i="12"/>
  <c r="L18" i="12"/>
  <c r="L17" i="12"/>
  <c r="L16" i="12"/>
  <c r="I16" i="12"/>
  <c r="I17" i="12" s="1"/>
  <c r="F16" i="12"/>
  <c r="E16" i="12"/>
  <c r="L10" i="12"/>
  <c r="L9" i="12"/>
  <c r="L8" i="12"/>
  <c r="L7" i="12"/>
  <c r="L6" i="12"/>
  <c r="L5" i="12"/>
  <c r="L4" i="12"/>
  <c r="L3" i="12"/>
  <c r="L2" i="12"/>
  <c r="I2" i="12"/>
  <c r="F2" i="12"/>
  <c r="E2" i="12"/>
  <c r="F13" i="10"/>
  <c r="U5" i="10" s="1"/>
  <c r="X5" i="10" s="1"/>
  <c r="H12" i="10"/>
  <c r="H11" i="10"/>
  <c r="H10" i="10"/>
  <c r="V9" i="10"/>
  <c r="H9" i="10"/>
  <c r="V8" i="10"/>
  <c r="H8" i="10"/>
  <c r="V7" i="10"/>
  <c r="S7" i="10"/>
  <c r="P7" i="10"/>
  <c r="R7" i="10" s="1"/>
  <c r="H7" i="10"/>
  <c r="V6" i="10"/>
  <c r="H6" i="10"/>
  <c r="H5" i="10"/>
  <c r="S4" i="10"/>
  <c r="P4" i="10"/>
  <c r="R4" i="10" s="1"/>
  <c r="H4" i="10"/>
  <c r="E4" i="10"/>
  <c r="B4" i="10"/>
  <c r="A4" i="10"/>
  <c r="G1" i="10"/>
  <c r="F1" i="10"/>
  <c r="D1" i="10"/>
  <c r="B1" i="10"/>
  <c r="W2" i="10" s="1"/>
  <c r="J4" i="9"/>
  <c r="D70" i="2"/>
  <c r="D69" i="2"/>
  <c r="D68" i="2"/>
  <c r="F56" i="2"/>
  <c r="J31" i="1"/>
  <c r="U48" i="2"/>
  <c r="V48" i="2"/>
  <c r="Y48" i="2"/>
  <c r="J57" i="2"/>
  <c r="H55" i="2"/>
  <c r="H54" i="2"/>
  <c r="H53" i="2"/>
  <c r="V52" i="2"/>
  <c r="H52" i="2"/>
  <c r="V51" i="2"/>
  <c r="H51" i="2"/>
  <c r="V50" i="2"/>
  <c r="S50" i="2"/>
  <c r="P50" i="2"/>
  <c r="R50" i="2"/>
  <c r="H50" i="2"/>
  <c r="V49" i="2"/>
  <c r="H49" i="2"/>
  <c r="S48" i="2"/>
  <c r="P48" i="2"/>
  <c r="R48" i="2"/>
  <c r="H48" i="2"/>
  <c r="S47" i="2"/>
  <c r="P47" i="2"/>
  <c r="R47" i="2"/>
  <c r="R56" i="2"/>
  <c r="C57" i="2"/>
  <c r="H47" i="2"/>
  <c r="H56" i="2"/>
  <c r="L31" i="1"/>
  <c r="N31" i="1"/>
  <c r="E47" i="2"/>
  <c r="D48" i="2"/>
  <c r="E48" i="2"/>
  <c r="B47" i="2"/>
  <c r="A47" i="2"/>
  <c r="G44" i="2"/>
  <c r="F44" i="2"/>
  <c r="D44" i="2"/>
  <c r="B44" i="2"/>
  <c r="W45" i="2"/>
  <c r="F40" i="2"/>
  <c r="J30" i="1"/>
  <c r="J33" i="1"/>
  <c r="U32" i="2"/>
  <c r="X32" i="2"/>
  <c r="H39" i="2"/>
  <c r="H38" i="2"/>
  <c r="H37" i="2"/>
  <c r="V36" i="2"/>
  <c r="H36" i="2"/>
  <c r="V35" i="2"/>
  <c r="H35" i="2"/>
  <c r="V34" i="2"/>
  <c r="S34" i="2"/>
  <c r="P34" i="2"/>
  <c r="R34" i="2"/>
  <c r="H34" i="2"/>
  <c r="V33" i="2"/>
  <c r="H33" i="2"/>
  <c r="H32" i="2"/>
  <c r="S31" i="2"/>
  <c r="S40" i="2"/>
  <c r="G41" i="2"/>
  <c r="B66" i="2"/>
  <c r="C41" i="1"/>
  <c r="I27" i="6"/>
  <c r="P31" i="2"/>
  <c r="R31" i="2"/>
  <c r="R40" i="2"/>
  <c r="C41" i="2"/>
  <c r="H31" i="2"/>
  <c r="E31" i="2"/>
  <c r="B31" i="2"/>
  <c r="A31" i="2"/>
  <c r="G28" i="2"/>
  <c r="F28" i="2"/>
  <c r="D28" i="2"/>
  <c r="B28" i="2"/>
  <c r="W29" i="2"/>
  <c r="S56" i="2"/>
  <c r="G57" i="2"/>
  <c r="H40" i="2"/>
  <c r="L30" i="1"/>
  <c r="S39" i="1"/>
  <c r="D44" i="1"/>
  <c r="D43" i="1"/>
  <c r="D45" i="1"/>
  <c r="A45" i="1"/>
  <c r="H3" i="1"/>
  <c r="A44" i="1"/>
  <c r="A43" i="1"/>
  <c r="H24" i="2"/>
  <c r="H23" i="2"/>
  <c r="H22" i="2"/>
  <c r="H21" i="2"/>
  <c r="F1" i="3"/>
  <c r="E106" i="3"/>
  <c r="E107" i="3"/>
  <c r="D20" i="6"/>
  <c r="A2" i="2"/>
  <c r="B2" i="2"/>
  <c r="H2" i="2"/>
  <c r="A3" i="2"/>
  <c r="H3" i="2"/>
  <c r="B120" i="3"/>
  <c r="B116" i="3"/>
  <c r="C116" i="3"/>
  <c r="B118" i="3"/>
  <c r="C118" i="3"/>
  <c r="B113" i="3"/>
  <c r="C113" i="3"/>
  <c r="B114" i="3"/>
  <c r="B112" i="3"/>
  <c r="C112" i="3"/>
  <c r="C115" i="3"/>
  <c r="C114" i="3"/>
  <c r="C117" i="3"/>
  <c r="B108" i="3"/>
  <c r="C120" i="3"/>
  <c r="B65" i="2"/>
  <c r="C40" i="1"/>
  <c r="N30" i="1"/>
  <c r="N33" i="1"/>
  <c r="L33" i="1"/>
  <c r="X48" i="2"/>
  <c r="B63" i="2"/>
  <c r="C38" i="1"/>
  <c r="B64" i="2"/>
  <c r="C39" i="1"/>
  <c r="D27" i="6"/>
  <c r="V32" i="2"/>
  <c r="Y32" i="2"/>
  <c r="J41" i="2"/>
  <c r="B67" i="2"/>
  <c r="C42" i="1"/>
  <c r="J3" i="9" l="1"/>
  <c r="H13" i="13"/>
  <c r="V5" i="13"/>
  <c r="Y5" i="13" s="1"/>
  <c r="J14" i="13" s="1"/>
  <c r="R13" i="13"/>
  <c r="C14" i="13" s="1"/>
  <c r="D5" i="13"/>
  <c r="J3" i="11"/>
  <c r="J4" i="11"/>
  <c r="L4" i="11"/>
  <c r="N4" i="11" s="1"/>
  <c r="L3" i="11"/>
  <c r="N3" i="11" s="1"/>
  <c r="H17" i="12"/>
  <c r="H13" i="10"/>
  <c r="S13" i="10"/>
  <c r="G14" i="10" s="1"/>
  <c r="L4" i="9"/>
  <c r="N4" i="9" s="1"/>
  <c r="R13" i="10"/>
  <c r="C14" i="10" s="1"/>
  <c r="V5" i="10"/>
  <c r="Y5" i="10" s="1"/>
  <c r="J14" i="10" s="1"/>
  <c r="L3" i="9" l="1"/>
  <c r="N3" i="9" s="1"/>
</calcChain>
</file>

<file path=xl/sharedStrings.xml><?xml version="1.0" encoding="utf-8"?>
<sst xmlns="http://schemas.openxmlformats.org/spreadsheetml/2006/main" count="1050" uniqueCount="676">
  <si>
    <t>Consignee : To the order of</t>
  </si>
  <si>
    <t>Notify :</t>
  </si>
  <si>
    <t>Style No</t>
  </si>
  <si>
    <t>Colour</t>
  </si>
  <si>
    <t>Pcs</t>
  </si>
  <si>
    <t>Amount</t>
  </si>
  <si>
    <t>Shipping Marks:</t>
  </si>
  <si>
    <t>ECHO-NewLook</t>
  </si>
  <si>
    <t>P O Number</t>
  </si>
  <si>
    <t>Size</t>
  </si>
  <si>
    <t>Carton Number</t>
  </si>
  <si>
    <t>Cartons</t>
  </si>
  <si>
    <t>Side Marks:</t>
  </si>
  <si>
    <t>Carton Measurement:</t>
  </si>
  <si>
    <t>Net Weight:         Kgs</t>
  </si>
  <si>
    <t>Gross Weight:     Kgs</t>
  </si>
  <si>
    <t>Authorised Signature</t>
  </si>
  <si>
    <t>Commercial Invoice</t>
  </si>
  <si>
    <t>Ctns</t>
  </si>
  <si>
    <t>Kgs</t>
  </si>
  <si>
    <t xml:space="preserve">Total Qty : </t>
  </si>
  <si>
    <t xml:space="preserve">Net Weight : </t>
  </si>
  <si>
    <t>Total Carton:</t>
  </si>
  <si>
    <t>ERC No. RA-0086286</t>
  </si>
  <si>
    <t>Date: 30.01.2008</t>
  </si>
  <si>
    <t>Packing List</t>
  </si>
  <si>
    <t>1. Echo Sourcing Limited</t>
  </si>
  <si>
    <t>2. New Look Retailers Ltd.</t>
  </si>
  <si>
    <t xml:space="preserve">    Mercery Road, Weymouth, Dorset, DT3 5HJ, UK.</t>
  </si>
  <si>
    <t xml:space="preserve">   110-112 Parkway, Camden,</t>
  </si>
  <si>
    <t xml:space="preserve">   London, NW1 7AN, UK</t>
  </si>
  <si>
    <t>SUPPLIER REF # 1482</t>
  </si>
  <si>
    <t xml:space="preserve">Gross Weight: </t>
  </si>
  <si>
    <t xml:space="preserve">Gross Weight : </t>
  </si>
  <si>
    <t xml:space="preserve"> </t>
  </si>
  <si>
    <t>Data Table</t>
  </si>
  <si>
    <t>No</t>
  </si>
  <si>
    <t>Word 1</t>
  </si>
  <si>
    <t>Word 2</t>
  </si>
  <si>
    <t>Word 3</t>
  </si>
  <si>
    <t>Word 4</t>
  </si>
  <si>
    <t>Word 5</t>
  </si>
  <si>
    <t xml:space="preserve">One </t>
  </si>
  <si>
    <t xml:space="preserve">One Hundred </t>
  </si>
  <si>
    <t xml:space="preserve">One Thousand </t>
  </si>
  <si>
    <t xml:space="preserve">One Million </t>
  </si>
  <si>
    <t xml:space="preserve">And Cents One </t>
  </si>
  <si>
    <t xml:space="preserve">Two </t>
  </si>
  <si>
    <t xml:space="preserve">Two Hundred </t>
  </si>
  <si>
    <t xml:space="preserve">Two Thousand </t>
  </si>
  <si>
    <t xml:space="preserve">Two Million </t>
  </si>
  <si>
    <t xml:space="preserve">And Cents Two </t>
  </si>
  <si>
    <t/>
  </si>
  <si>
    <t xml:space="preserve">Three </t>
  </si>
  <si>
    <t xml:space="preserve">Three Hundred </t>
  </si>
  <si>
    <t xml:space="preserve">Three Thousand </t>
  </si>
  <si>
    <t xml:space="preserve">Three Million </t>
  </si>
  <si>
    <t xml:space="preserve">And Cents Three </t>
  </si>
  <si>
    <t xml:space="preserve">Four </t>
  </si>
  <si>
    <t xml:space="preserve">Four Hundred </t>
  </si>
  <si>
    <t xml:space="preserve">Four Thousand </t>
  </si>
  <si>
    <t xml:space="preserve">Four Million </t>
  </si>
  <si>
    <t xml:space="preserve">And Cents Four </t>
  </si>
  <si>
    <t xml:space="preserve">Five </t>
  </si>
  <si>
    <t xml:space="preserve">Five Hundred </t>
  </si>
  <si>
    <t xml:space="preserve">Five Thousand </t>
  </si>
  <si>
    <t xml:space="preserve">Five Million </t>
  </si>
  <si>
    <t xml:space="preserve">And Cents Five </t>
  </si>
  <si>
    <t xml:space="preserve">Six </t>
  </si>
  <si>
    <t xml:space="preserve">Six Hundred </t>
  </si>
  <si>
    <t xml:space="preserve">Six Thousand </t>
  </si>
  <si>
    <t xml:space="preserve">Six Million </t>
  </si>
  <si>
    <t xml:space="preserve">And Cents Six </t>
  </si>
  <si>
    <t xml:space="preserve">Seven </t>
  </si>
  <si>
    <t xml:space="preserve">Seven Hundred </t>
  </si>
  <si>
    <t xml:space="preserve">Seven Thousand </t>
  </si>
  <si>
    <t xml:space="preserve">Seven Million </t>
  </si>
  <si>
    <t xml:space="preserve">And Cents Seven </t>
  </si>
  <si>
    <t xml:space="preserve">Eight </t>
  </si>
  <si>
    <t xml:space="preserve">Eight Hundred </t>
  </si>
  <si>
    <t xml:space="preserve">Eight Thousand </t>
  </si>
  <si>
    <t xml:space="preserve">Eight Million </t>
  </si>
  <si>
    <t xml:space="preserve">And Cents Eight </t>
  </si>
  <si>
    <t xml:space="preserve">Nine </t>
  </si>
  <si>
    <t xml:space="preserve">Nine Hundred </t>
  </si>
  <si>
    <t xml:space="preserve">Nine Thousand </t>
  </si>
  <si>
    <t xml:space="preserve">Nine Million </t>
  </si>
  <si>
    <t xml:space="preserve">And Cents Nine </t>
  </si>
  <si>
    <t xml:space="preserve">Ten </t>
  </si>
  <si>
    <t xml:space="preserve">Ten Hundred </t>
  </si>
  <si>
    <t xml:space="preserve">Ten Thousand </t>
  </si>
  <si>
    <t xml:space="preserve">Ten Million </t>
  </si>
  <si>
    <t xml:space="preserve">And Cents Ten </t>
  </si>
  <si>
    <t xml:space="preserve">Eleven </t>
  </si>
  <si>
    <t xml:space="preserve">Eleven Hundred </t>
  </si>
  <si>
    <t xml:space="preserve">Eleven Thousand </t>
  </si>
  <si>
    <t xml:space="preserve">Eleven Million </t>
  </si>
  <si>
    <t xml:space="preserve">And Cents Eleven </t>
  </si>
  <si>
    <t xml:space="preserve">Twelve </t>
  </si>
  <si>
    <t xml:space="preserve">Twelve Hundred </t>
  </si>
  <si>
    <t xml:space="preserve">Twelve Thousand </t>
  </si>
  <si>
    <t xml:space="preserve">Twelve Million </t>
  </si>
  <si>
    <t xml:space="preserve">And Cents Twelve </t>
  </si>
  <si>
    <t xml:space="preserve">Thirteen </t>
  </si>
  <si>
    <t xml:space="preserve">Thirteen Hundred </t>
  </si>
  <si>
    <t xml:space="preserve">Thirteen Thousand </t>
  </si>
  <si>
    <t xml:space="preserve">Thirteen Million </t>
  </si>
  <si>
    <t xml:space="preserve">And Cents Thirteen </t>
  </si>
  <si>
    <t xml:space="preserve">Fourteen </t>
  </si>
  <si>
    <t xml:space="preserve">Fourteen Hundred </t>
  </si>
  <si>
    <t xml:space="preserve">Fourteen Thousand </t>
  </si>
  <si>
    <t xml:space="preserve">Fourteen Million </t>
  </si>
  <si>
    <t xml:space="preserve">And Cents Fourteen </t>
  </si>
  <si>
    <t xml:space="preserve">Fifteen </t>
  </si>
  <si>
    <t xml:space="preserve">Fifteen Hundred </t>
  </si>
  <si>
    <t xml:space="preserve">Fifteen Thousand </t>
  </si>
  <si>
    <t xml:space="preserve">Fifteen Million </t>
  </si>
  <si>
    <t xml:space="preserve">And Cents Fifteen </t>
  </si>
  <si>
    <t xml:space="preserve">Sixteen </t>
  </si>
  <si>
    <t xml:space="preserve">Sixteen Hundred </t>
  </si>
  <si>
    <t xml:space="preserve">Sixteen Thousand </t>
  </si>
  <si>
    <t xml:space="preserve">Sixteen Million </t>
  </si>
  <si>
    <t xml:space="preserve">And Cents Sixteen </t>
  </si>
  <si>
    <t xml:space="preserve">Seventeen </t>
  </si>
  <si>
    <t xml:space="preserve">Seventeen Hundred </t>
  </si>
  <si>
    <t xml:space="preserve">Seventeen Thousand </t>
  </si>
  <si>
    <t xml:space="preserve">Seventeen Million </t>
  </si>
  <si>
    <t xml:space="preserve">And Cents Seventeen </t>
  </si>
  <si>
    <t xml:space="preserve">Eightteen </t>
  </si>
  <si>
    <t xml:space="preserve">Eightteen Hundred </t>
  </si>
  <si>
    <t xml:space="preserve">Eightteen Thousand </t>
  </si>
  <si>
    <t xml:space="preserve">Eightteen Million </t>
  </si>
  <si>
    <t xml:space="preserve">And Cents Eightteen </t>
  </si>
  <si>
    <t xml:space="preserve">Nineteen </t>
  </si>
  <si>
    <t xml:space="preserve">Nineteen Hundred </t>
  </si>
  <si>
    <t xml:space="preserve">Nineteen Thousand </t>
  </si>
  <si>
    <t xml:space="preserve">Nineteen Million </t>
  </si>
  <si>
    <t xml:space="preserve">And Cents Nineteen </t>
  </si>
  <si>
    <t xml:space="preserve">Twenty </t>
  </si>
  <si>
    <t xml:space="preserve">Twenty Hundred </t>
  </si>
  <si>
    <t xml:space="preserve">Twenty Thousand </t>
  </si>
  <si>
    <t xml:space="preserve">Twenty Million </t>
  </si>
  <si>
    <t xml:space="preserve">And Cents Twenty </t>
  </si>
  <si>
    <t xml:space="preserve">Twenty One </t>
  </si>
  <si>
    <t xml:space="preserve">Twenty One Hundred </t>
  </si>
  <si>
    <t xml:space="preserve">Twenty One Thousand </t>
  </si>
  <si>
    <t xml:space="preserve">Twenty One Million </t>
  </si>
  <si>
    <t xml:space="preserve">And Cents Twenty One </t>
  </si>
  <si>
    <t xml:space="preserve">Twenty Two </t>
  </si>
  <si>
    <t xml:space="preserve">Twenty Two Hundred </t>
  </si>
  <si>
    <t xml:space="preserve">Twenty Two Thousand </t>
  </si>
  <si>
    <t xml:space="preserve">Twenty Two Million </t>
  </si>
  <si>
    <t xml:space="preserve">And Cents Twenty Two </t>
  </si>
  <si>
    <t xml:space="preserve">Twenty Three </t>
  </si>
  <si>
    <t xml:space="preserve">Twenty Three Hundred </t>
  </si>
  <si>
    <t xml:space="preserve">Twenty Three Thousand </t>
  </si>
  <si>
    <t xml:space="preserve">Twenty Three Million </t>
  </si>
  <si>
    <t xml:space="preserve">And Cents Twenty Three </t>
  </si>
  <si>
    <t xml:space="preserve">Twenty Four </t>
  </si>
  <si>
    <t xml:space="preserve">Twenty Four Hundred </t>
  </si>
  <si>
    <t xml:space="preserve">Twenty Four Thousand </t>
  </si>
  <si>
    <t xml:space="preserve">Twenty Four Million </t>
  </si>
  <si>
    <t xml:space="preserve">And Cents Twenty Four </t>
  </si>
  <si>
    <t xml:space="preserve">Twenty Five </t>
  </si>
  <si>
    <t xml:space="preserve">Twenty Five Hundred </t>
  </si>
  <si>
    <t xml:space="preserve">Twenty Five Thousand </t>
  </si>
  <si>
    <t xml:space="preserve">Twenty Five Million </t>
  </si>
  <si>
    <t xml:space="preserve">And Cents Twenty Five </t>
  </si>
  <si>
    <t xml:space="preserve">Twenty Six </t>
  </si>
  <si>
    <t xml:space="preserve">Twenty Six Hundred </t>
  </si>
  <si>
    <t xml:space="preserve">Twenty Six Thousand </t>
  </si>
  <si>
    <t xml:space="preserve">Twenty Six Million </t>
  </si>
  <si>
    <t xml:space="preserve">And Cents Twenty Six </t>
  </si>
  <si>
    <t xml:space="preserve">Twenty Seven </t>
  </si>
  <si>
    <t xml:space="preserve">Twenty Seven Hundred </t>
  </si>
  <si>
    <t xml:space="preserve">Twenty Seven Thousand </t>
  </si>
  <si>
    <t xml:space="preserve">Twenty Seven Million </t>
  </si>
  <si>
    <t xml:space="preserve">And Cents Twenty Seven </t>
  </si>
  <si>
    <t xml:space="preserve">Twenty Eight </t>
  </si>
  <si>
    <t xml:space="preserve">Twenty Eight Hundred </t>
  </si>
  <si>
    <t xml:space="preserve">Twenty Eight Thousand </t>
  </si>
  <si>
    <t xml:space="preserve">Twenty Eight Million </t>
  </si>
  <si>
    <t xml:space="preserve">And Cents Twenty Eight </t>
  </si>
  <si>
    <t xml:space="preserve">Twenty Nine </t>
  </si>
  <si>
    <t xml:space="preserve">Twenty Nine Hundred </t>
  </si>
  <si>
    <t xml:space="preserve">Twenty Nine Thousand </t>
  </si>
  <si>
    <t xml:space="preserve">Twenty Nine Million </t>
  </si>
  <si>
    <t xml:space="preserve">And Cents Twenty Nine </t>
  </si>
  <si>
    <t xml:space="preserve">Thirty </t>
  </si>
  <si>
    <t xml:space="preserve">Thirty Hundred </t>
  </si>
  <si>
    <t xml:space="preserve">Thirty Thousand </t>
  </si>
  <si>
    <t xml:space="preserve">Thirty Million </t>
  </si>
  <si>
    <t xml:space="preserve">And Cents Thirty </t>
  </si>
  <si>
    <t xml:space="preserve">Thirty One </t>
  </si>
  <si>
    <t xml:space="preserve">Thirty One Hundred </t>
  </si>
  <si>
    <t xml:space="preserve">Thirty One Thousand </t>
  </si>
  <si>
    <t xml:space="preserve">Thirty One Million </t>
  </si>
  <si>
    <t xml:space="preserve">And Cents Thirty One </t>
  </si>
  <si>
    <t xml:space="preserve">Thirty Two </t>
  </si>
  <si>
    <t xml:space="preserve">Thirty Two Hundred </t>
  </si>
  <si>
    <t xml:space="preserve">Thirty Two Thousand </t>
  </si>
  <si>
    <t xml:space="preserve">Thirty Two Million </t>
  </si>
  <si>
    <t xml:space="preserve">And Cents Thirty Two </t>
  </si>
  <si>
    <t xml:space="preserve">Thirty Three </t>
  </si>
  <si>
    <t xml:space="preserve">Thirty Three Hundred </t>
  </si>
  <si>
    <t xml:space="preserve">Thirty Three Thousand </t>
  </si>
  <si>
    <t xml:space="preserve">Thirty Three Million </t>
  </si>
  <si>
    <t xml:space="preserve">And Cents Thirty Three </t>
  </si>
  <si>
    <t xml:space="preserve">Thirty Four </t>
  </si>
  <si>
    <t xml:space="preserve">Thirty Four Hundred </t>
  </si>
  <si>
    <t xml:space="preserve">Thirty Four Thousand </t>
  </si>
  <si>
    <t xml:space="preserve">Thirty Four Million </t>
  </si>
  <si>
    <t xml:space="preserve">And Cents Thirty Four </t>
  </si>
  <si>
    <t xml:space="preserve">Thirty Five </t>
  </si>
  <si>
    <t xml:space="preserve">Thirty Five Hundred </t>
  </si>
  <si>
    <t xml:space="preserve">Thirty Five Thousand </t>
  </si>
  <si>
    <t xml:space="preserve">Thirty Five Million </t>
  </si>
  <si>
    <t xml:space="preserve">And Cents Thirty Five </t>
  </si>
  <si>
    <t xml:space="preserve">Thirty Six </t>
  </si>
  <si>
    <t xml:space="preserve">Thirty Six Hundred </t>
  </si>
  <si>
    <t xml:space="preserve">Thirty Six Thousand </t>
  </si>
  <si>
    <t xml:space="preserve">Thirty Six Million </t>
  </si>
  <si>
    <t xml:space="preserve">And Cents Thirty Six </t>
  </si>
  <si>
    <t xml:space="preserve">Thirty Seven </t>
  </si>
  <si>
    <t xml:space="preserve">Thirty Seven Hundred </t>
  </si>
  <si>
    <t xml:space="preserve">Thirty Seven Thousand </t>
  </si>
  <si>
    <t xml:space="preserve">Thirty Seven Million </t>
  </si>
  <si>
    <t xml:space="preserve">And Cents Thirty Seven </t>
  </si>
  <si>
    <t xml:space="preserve">Thirty Eight </t>
  </si>
  <si>
    <t xml:space="preserve">Thirty Eight Hundred </t>
  </si>
  <si>
    <t xml:space="preserve">Thirty Eight Thousand </t>
  </si>
  <si>
    <t xml:space="preserve">Thirty Eight Million </t>
  </si>
  <si>
    <t xml:space="preserve">And Cents Thirty Eight </t>
  </si>
  <si>
    <t xml:space="preserve">Thirty Nine </t>
  </si>
  <si>
    <t xml:space="preserve">Thirty Nine Hundred </t>
  </si>
  <si>
    <t xml:space="preserve">Thirty Nine Thousand </t>
  </si>
  <si>
    <t xml:space="preserve">Thirty Nine Million </t>
  </si>
  <si>
    <t xml:space="preserve">And Cents Thirty Nine </t>
  </si>
  <si>
    <t xml:space="preserve">Forty </t>
  </si>
  <si>
    <t xml:space="preserve">Forty Hundred </t>
  </si>
  <si>
    <t xml:space="preserve">Forty Thousand </t>
  </si>
  <si>
    <t xml:space="preserve">Forty Million </t>
  </si>
  <si>
    <t xml:space="preserve">And Cents Forty </t>
  </si>
  <si>
    <t xml:space="preserve">Forty One </t>
  </si>
  <si>
    <t xml:space="preserve">Forty One Hundred </t>
  </si>
  <si>
    <t xml:space="preserve">Forty One Thousand </t>
  </si>
  <si>
    <t xml:space="preserve">Forty One Million </t>
  </si>
  <si>
    <t xml:space="preserve">And Cents Forty One </t>
  </si>
  <si>
    <t xml:space="preserve">Forty Two </t>
  </si>
  <si>
    <t xml:space="preserve">Forty Two Hundred </t>
  </si>
  <si>
    <t xml:space="preserve">Forty Two Thousand </t>
  </si>
  <si>
    <t xml:space="preserve">Forty Two Million </t>
  </si>
  <si>
    <t xml:space="preserve">And Cents Forty Two </t>
  </si>
  <si>
    <t xml:space="preserve">Forty Three </t>
  </si>
  <si>
    <t xml:space="preserve">Forty Three Hundred </t>
  </si>
  <si>
    <t xml:space="preserve">Forty Three Thousand </t>
  </si>
  <si>
    <t xml:space="preserve">Forty Three Million </t>
  </si>
  <si>
    <t xml:space="preserve">And Cents Forty Three </t>
  </si>
  <si>
    <t xml:space="preserve">Forty Four </t>
  </si>
  <si>
    <t xml:space="preserve">Forty Four Hundred </t>
  </si>
  <si>
    <t xml:space="preserve">Forty Four Thousand </t>
  </si>
  <si>
    <t xml:space="preserve">Forty Four Million </t>
  </si>
  <si>
    <t xml:space="preserve">And Cents Forty Four </t>
  </si>
  <si>
    <t xml:space="preserve">Forty Five </t>
  </si>
  <si>
    <t xml:space="preserve">Forty Five Hundred </t>
  </si>
  <si>
    <t xml:space="preserve">Forty Five Thousand </t>
  </si>
  <si>
    <t xml:space="preserve">Forty Five Million </t>
  </si>
  <si>
    <t xml:space="preserve">And Cents Forty Five </t>
  </si>
  <si>
    <t xml:space="preserve">Forty Six </t>
  </si>
  <si>
    <t xml:space="preserve">Forty Six Hundred </t>
  </si>
  <si>
    <t xml:space="preserve">Forty Six Thousand </t>
  </si>
  <si>
    <t xml:space="preserve">Forty Six Million </t>
  </si>
  <si>
    <t xml:space="preserve">And Cents Forty Six </t>
  </si>
  <si>
    <t xml:space="preserve">Forty Seven </t>
  </si>
  <si>
    <t xml:space="preserve">Forty Seven Hundred </t>
  </si>
  <si>
    <t xml:space="preserve">Forty Seven Thousand </t>
  </si>
  <si>
    <t xml:space="preserve">Forty Seven Million </t>
  </si>
  <si>
    <t xml:space="preserve">And Cents Forty Seven </t>
  </si>
  <si>
    <t xml:space="preserve">Forty Eight </t>
  </si>
  <si>
    <t xml:space="preserve">Forty Eight Hundred </t>
  </si>
  <si>
    <t xml:space="preserve">Forty Eight Thousand </t>
  </si>
  <si>
    <t xml:space="preserve">Forty Eight Million </t>
  </si>
  <si>
    <t xml:space="preserve">And Cents Forty Eight </t>
  </si>
  <si>
    <t xml:space="preserve">Forty Nine </t>
  </si>
  <si>
    <t xml:space="preserve">Forty Nine Hundred </t>
  </si>
  <si>
    <t xml:space="preserve">Forty Nine Thousand </t>
  </si>
  <si>
    <t xml:space="preserve">Forty Nine Million </t>
  </si>
  <si>
    <t xml:space="preserve">And Cents Forty Nine </t>
  </si>
  <si>
    <t xml:space="preserve">Fifty </t>
  </si>
  <si>
    <t xml:space="preserve">Fifty Hundred </t>
  </si>
  <si>
    <t xml:space="preserve">Fifty Thousand </t>
  </si>
  <si>
    <t xml:space="preserve">Fifty Million </t>
  </si>
  <si>
    <t xml:space="preserve">And Cents Fifty </t>
  </si>
  <si>
    <t xml:space="preserve">Fifty One </t>
  </si>
  <si>
    <t xml:space="preserve">Fifty One Hundred </t>
  </si>
  <si>
    <t xml:space="preserve">Fifty One Thousand </t>
  </si>
  <si>
    <t xml:space="preserve">Fifty One Million </t>
  </si>
  <si>
    <t xml:space="preserve">And Cents Fifty One </t>
  </si>
  <si>
    <t xml:space="preserve">Fifty Two </t>
  </si>
  <si>
    <t xml:space="preserve">Fifty Two Hundred </t>
  </si>
  <si>
    <t xml:space="preserve">Fifty Two Thousand </t>
  </si>
  <si>
    <t xml:space="preserve">Fifty Two Million </t>
  </si>
  <si>
    <t xml:space="preserve">And Cents Fifty Two </t>
  </si>
  <si>
    <t xml:space="preserve">Fifty Three </t>
  </si>
  <si>
    <t xml:space="preserve">Fifty Three Hundred </t>
  </si>
  <si>
    <t xml:space="preserve">Fifty Three Thousand </t>
  </si>
  <si>
    <t xml:space="preserve">Fifty Three Million </t>
  </si>
  <si>
    <t xml:space="preserve">And Cents Fifty Three </t>
  </si>
  <si>
    <t xml:space="preserve">Fifty Four </t>
  </si>
  <si>
    <t xml:space="preserve">Fifty Four Hundred </t>
  </si>
  <si>
    <t xml:space="preserve">Fifty Four Thousand </t>
  </si>
  <si>
    <t xml:space="preserve">Fifty Four Million </t>
  </si>
  <si>
    <t xml:space="preserve">And Cents Fifty Four </t>
  </si>
  <si>
    <t xml:space="preserve">Fifty Five </t>
  </si>
  <si>
    <t xml:space="preserve">Fifty Five Hundred </t>
  </si>
  <si>
    <t xml:space="preserve">Fifty Five Thousand </t>
  </si>
  <si>
    <t xml:space="preserve">Fifty Five Million </t>
  </si>
  <si>
    <t xml:space="preserve">And Cents Fifty Five </t>
  </si>
  <si>
    <t xml:space="preserve">Fifty Six </t>
  </si>
  <si>
    <t xml:space="preserve">Fifty Six Hundred </t>
  </si>
  <si>
    <t xml:space="preserve">Fifty Six Thousand </t>
  </si>
  <si>
    <t xml:space="preserve">Fifty Six Million </t>
  </si>
  <si>
    <t xml:space="preserve">And Cents Fifty Six </t>
  </si>
  <si>
    <t xml:space="preserve">Fifty Seven </t>
  </si>
  <si>
    <t xml:space="preserve">Fifty Seven Hundred </t>
  </si>
  <si>
    <t xml:space="preserve">Fifty Seven Thousand </t>
  </si>
  <si>
    <t xml:space="preserve">Fifty Seven Million </t>
  </si>
  <si>
    <t xml:space="preserve">And Cents Fifty Seven </t>
  </si>
  <si>
    <t xml:space="preserve">Fifty Eight </t>
  </si>
  <si>
    <t xml:space="preserve">Fifty Eight Hundred </t>
  </si>
  <si>
    <t xml:space="preserve">Fifty Eight Thousand </t>
  </si>
  <si>
    <t xml:space="preserve">Fifty Eight Million </t>
  </si>
  <si>
    <t xml:space="preserve">And Cents Fifty Eight </t>
  </si>
  <si>
    <t xml:space="preserve">Fifty Nine </t>
  </si>
  <si>
    <t xml:space="preserve">Fifty Nine Hundred </t>
  </si>
  <si>
    <t xml:space="preserve">Fifty Nine Thousand </t>
  </si>
  <si>
    <t xml:space="preserve">Fifty Nine Million </t>
  </si>
  <si>
    <t xml:space="preserve">And Cents Fifty Nine </t>
  </si>
  <si>
    <t xml:space="preserve">Sixty </t>
  </si>
  <si>
    <t xml:space="preserve">Sixty Hundred </t>
  </si>
  <si>
    <t xml:space="preserve">Sixty Thousand </t>
  </si>
  <si>
    <t xml:space="preserve">Sixty Million </t>
  </si>
  <si>
    <t xml:space="preserve">And Cents Sixty </t>
  </si>
  <si>
    <t xml:space="preserve">Sixty One </t>
  </si>
  <si>
    <t xml:space="preserve">Sixty One Hundred </t>
  </si>
  <si>
    <t xml:space="preserve">Sixty One Thousand </t>
  </si>
  <si>
    <t xml:space="preserve">Sixty One Million </t>
  </si>
  <si>
    <t xml:space="preserve">And Cents Sixty One </t>
  </si>
  <si>
    <t xml:space="preserve">Sixty Two </t>
  </si>
  <si>
    <t xml:space="preserve">Sixty Two Hundred </t>
  </si>
  <si>
    <t xml:space="preserve">Sixty Two Thousand </t>
  </si>
  <si>
    <t xml:space="preserve">Sixty Two Million </t>
  </si>
  <si>
    <t xml:space="preserve">And Cents Sixty Two </t>
  </si>
  <si>
    <t xml:space="preserve">Sixty Three </t>
  </si>
  <si>
    <t xml:space="preserve">Sixty Three Hundred </t>
  </si>
  <si>
    <t xml:space="preserve">Sixty Three Thousand </t>
  </si>
  <si>
    <t xml:space="preserve">Sixty Three Million </t>
  </si>
  <si>
    <t xml:space="preserve">And Cents Sixty Three </t>
  </si>
  <si>
    <t xml:space="preserve">Sixty Four </t>
  </si>
  <si>
    <t xml:space="preserve">Sixty Four Hundred </t>
  </si>
  <si>
    <t xml:space="preserve">Sixty Four Thousand </t>
  </si>
  <si>
    <t xml:space="preserve">Sixty Four Million </t>
  </si>
  <si>
    <t xml:space="preserve">And Cents Sixty Four </t>
  </si>
  <si>
    <t xml:space="preserve">Sixty Five </t>
  </si>
  <si>
    <t xml:space="preserve">Sixty Five Hundred </t>
  </si>
  <si>
    <t xml:space="preserve">Sixty Five Thousand </t>
  </si>
  <si>
    <t xml:space="preserve">Sixty Five Million </t>
  </si>
  <si>
    <t xml:space="preserve">And Cents Sixty Five </t>
  </si>
  <si>
    <t xml:space="preserve">Sixty Six </t>
  </si>
  <si>
    <t xml:space="preserve">Sixty Six Hundred </t>
  </si>
  <si>
    <t xml:space="preserve">Sixty Six Thousand </t>
  </si>
  <si>
    <t xml:space="preserve">Sixty Six Million </t>
  </si>
  <si>
    <t xml:space="preserve">And Cents Sixty Six </t>
  </si>
  <si>
    <t xml:space="preserve">Sixty Seven </t>
  </si>
  <si>
    <t xml:space="preserve">Sixty Seven Hundred </t>
  </si>
  <si>
    <t xml:space="preserve">Sixty Seven Thousand </t>
  </si>
  <si>
    <t xml:space="preserve">Sixty Seven Million </t>
  </si>
  <si>
    <t xml:space="preserve">And Cents Sixty Seven </t>
  </si>
  <si>
    <t xml:space="preserve">Sixty Eight </t>
  </si>
  <si>
    <t xml:space="preserve">Sixty Eight Hundred </t>
  </si>
  <si>
    <t xml:space="preserve">Sixty Eight Thousand </t>
  </si>
  <si>
    <t xml:space="preserve">Sixty Eight Million </t>
  </si>
  <si>
    <t xml:space="preserve">And Cents Sixty Eight </t>
  </si>
  <si>
    <t xml:space="preserve">Sixty Nine </t>
  </si>
  <si>
    <t xml:space="preserve">Sixty Nine Hundred </t>
  </si>
  <si>
    <t xml:space="preserve">Sixty Nine Thousand </t>
  </si>
  <si>
    <t xml:space="preserve">Sixty Nine Million </t>
  </si>
  <si>
    <t xml:space="preserve">And Cents Sixty Nine </t>
  </si>
  <si>
    <t xml:space="preserve">Seventy </t>
  </si>
  <si>
    <t xml:space="preserve">Seventy Hundred </t>
  </si>
  <si>
    <t xml:space="preserve">Seventy Thousand </t>
  </si>
  <si>
    <t xml:space="preserve">Seventy Million </t>
  </si>
  <si>
    <t xml:space="preserve">And Cents Seventy </t>
  </si>
  <si>
    <t xml:space="preserve">Seventy One </t>
  </si>
  <si>
    <t xml:space="preserve">Seventy One Hundred </t>
  </si>
  <si>
    <t xml:space="preserve">Seventy One Thousand </t>
  </si>
  <si>
    <t xml:space="preserve">Seventy One Million </t>
  </si>
  <si>
    <t xml:space="preserve">And Cents Seventy One </t>
  </si>
  <si>
    <t xml:space="preserve">Seventy Two </t>
  </si>
  <si>
    <t xml:space="preserve">Seventy Two Hundred </t>
  </si>
  <si>
    <t xml:space="preserve">Seventy Two Thousand </t>
  </si>
  <si>
    <t xml:space="preserve">Seventy Two Million </t>
  </si>
  <si>
    <t xml:space="preserve">And Cents Seventy Two </t>
  </si>
  <si>
    <t xml:space="preserve">Seventy Three </t>
  </si>
  <si>
    <t xml:space="preserve">Seventy Three Hundred </t>
  </si>
  <si>
    <t xml:space="preserve">Seventy Three Thousand </t>
  </si>
  <si>
    <t xml:space="preserve">Seventy Three Million </t>
  </si>
  <si>
    <t xml:space="preserve">And Cents Seventy Three </t>
  </si>
  <si>
    <t xml:space="preserve">Seventy Four </t>
  </si>
  <si>
    <t xml:space="preserve">Seventy Four Hundred </t>
  </si>
  <si>
    <t xml:space="preserve">Seventy Four Thousand </t>
  </si>
  <si>
    <t xml:space="preserve">Seventy Four Million </t>
  </si>
  <si>
    <t xml:space="preserve">And Cents Seventy Four </t>
  </si>
  <si>
    <t xml:space="preserve">Seventy Five </t>
  </si>
  <si>
    <t xml:space="preserve">Seventy Five Hundred </t>
  </si>
  <si>
    <t xml:space="preserve">Seventy Five Thousand </t>
  </si>
  <si>
    <t xml:space="preserve">Seventy Five Million </t>
  </si>
  <si>
    <t xml:space="preserve">And Cents Seventy Five </t>
  </si>
  <si>
    <t xml:space="preserve">Seventy Six </t>
  </si>
  <si>
    <t xml:space="preserve">Seventy Six Hundred </t>
  </si>
  <si>
    <t xml:space="preserve">Seventy Six Thousand </t>
  </si>
  <si>
    <t xml:space="preserve">Seventy Six Million </t>
  </si>
  <si>
    <t xml:space="preserve">And Cents Seventy Six </t>
  </si>
  <si>
    <t xml:space="preserve">Seventy Seven </t>
  </si>
  <si>
    <t xml:space="preserve">Seventy Seven Hundred </t>
  </si>
  <si>
    <t xml:space="preserve">Seventy Seven Thousand </t>
  </si>
  <si>
    <t xml:space="preserve">Seventy Seven Million </t>
  </si>
  <si>
    <t xml:space="preserve">And Cents Seventy Seven </t>
  </si>
  <si>
    <t xml:space="preserve">Seventy Eight </t>
  </si>
  <si>
    <t xml:space="preserve">Seventy Eight Hundred </t>
  </si>
  <si>
    <t xml:space="preserve">Seventy Eight Thousand </t>
  </si>
  <si>
    <t xml:space="preserve">Seventy Eight Million </t>
  </si>
  <si>
    <t xml:space="preserve">And Cents Seventy Eight </t>
  </si>
  <si>
    <t xml:space="preserve">Seventy Nine </t>
  </si>
  <si>
    <t xml:space="preserve">Seventy Nine Hundred </t>
  </si>
  <si>
    <t xml:space="preserve">Seventy Nine Thousand </t>
  </si>
  <si>
    <t xml:space="preserve">Seventy Nine Million </t>
  </si>
  <si>
    <t xml:space="preserve">And Cents Seventy Nine </t>
  </si>
  <si>
    <t xml:space="preserve">Eighty </t>
  </si>
  <si>
    <t xml:space="preserve">Eighty Hundred </t>
  </si>
  <si>
    <t xml:space="preserve">Eighty Thousand </t>
  </si>
  <si>
    <t xml:space="preserve">Eighty Million </t>
  </si>
  <si>
    <t xml:space="preserve">And Cents Eighty </t>
  </si>
  <si>
    <t xml:space="preserve">Eighty One </t>
  </si>
  <si>
    <t xml:space="preserve">Eighty One Hundred </t>
  </si>
  <si>
    <t xml:space="preserve">Eighty One Thousand </t>
  </si>
  <si>
    <t xml:space="preserve">Eighty One Million </t>
  </si>
  <si>
    <t xml:space="preserve">And Cents Eighty One </t>
  </si>
  <si>
    <t xml:space="preserve">Eighty Two </t>
  </si>
  <si>
    <t xml:space="preserve">Eighty Two Hundred </t>
  </si>
  <si>
    <t xml:space="preserve">Eighty Two Thousand </t>
  </si>
  <si>
    <t xml:space="preserve">Eighty Two Million </t>
  </si>
  <si>
    <t xml:space="preserve">And Cents Eighty Two </t>
  </si>
  <si>
    <t xml:space="preserve">Eighty Three </t>
  </si>
  <si>
    <t xml:space="preserve">Eighty Three Hundred </t>
  </si>
  <si>
    <t xml:space="preserve">Eighty Three Thousand </t>
  </si>
  <si>
    <t xml:space="preserve">Eighty Three Million </t>
  </si>
  <si>
    <t xml:space="preserve">And Cents Eighty Three </t>
  </si>
  <si>
    <t xml:space="preserve">Eighty Four </t>
  </si>
  <si>
    <t xml:space="preserve">Eighty Four Hundred </t>
  </si>
  <si>
    <t xml:space="preserve">Eighty Four Thousand </t>
  </si>
  <si>
    <t xml:space="preserve">Eighty Four Million </t>
  </si>
  <si>
    <t xml:space="preserve">And Cents Eighty Four </t>
  </si>
  <si>
    <t xml:space="preserve">Eighty Five </t>
  </si>
  <si>
    <t xml:space="preserve">Eighty Five Hundred </t>
  </si>
  <si>
    <t xml:space="preserve">Eighty Five Thousand </t>
  </si>
  <si>
    <t xml:space="preserve">Eighty Five Million </t>
  </si>
  <si>
    <t xml:space="preserve">And Cents Eighty Five </t>
  </si>
  <si>
    <t xml:space="preserve">Eighty Six </t>
  </si>
  <si>
    <t xml:space="preserve">Eighty Six Hundred </t>
  </si>
  <si>
    <t xml:space="preserve">Eighty Six Thousand </t>
  </si>
  <si>
    <t xml:space="preserve">Eighty Six Million </t>
  </si>
  <si>
    <t xml:space="preserve">And Cents Eighty Six </t>
  </si>
  <si>
    <t xml:space="preserve">Eighty Seven </t>
  </si>
  <si>
    <t xml:space="preserve">Eighty Seven Hundred </t>
  </si>
  <si>
    <t xml:space="preserve">Eighty Seven Thousand </t>
  </si>
  <si>
    <t xml:space="preserve">Eighty Seven Million </t>
  </si>
  <si>
    <t xml:space="preserve">And Cents Eighty Seven </t>
  </si>
  <si>
    <t xml:space="preserve">Eighty Eight </t>
  </si>
  <si>
    <t xml:space="preserve">Eighty Eightt Hundred </t>
  </si>
  <si>
    <t xml:space="preserve">Eighty Eight Thousand </t>
  </si>
  <si>
    <t xml:space="preserve">Eighty Eight Million </t>
  </si>
  <si>
    <t xml:space="preserve">And Cents Eighty Eight </t>
  </si>
  <si>
    <t xml:space="preserve">Eighty Nine </t>
  </si>
  <si>
    <t xml:space="preserve">Eighty Nine Hundred </t>
  </si>
  <si>
    <t xml:space="preserve">Eighty Nine Thousand </t>
  </si>
  <si>
    <t xml:space="preserve">Eighty Nine Million </t>
  </si>
  <si>
    <t xml:space="preserve">And Cents Eighty Nine </t>
  </si>
  <si>
    <t xml:space="preserve">Ninety </t>
  </si>
  <si>
    <t xml:space="preserve">Ninety Hundred </t>
  </si>
  <si>
    <t xml:space="preserve">Ninety Thousand </t>
  </si>
  <si>
    <t xml:space="preserve">Ninety Million </t>
  </si>
  <si>
    <t xml:space="preserve">And Cents Ninety </t>
  </si>
  <si>
    <t xml:space="preserve">Ninety One </t>
  </si>
  <si>
    <t xml:space="preserve">Ninety One Hundred </t>
  </si>
  <si>
    <t xml:space="preserve">Ninety One Thousand </t>
  </si>
  <si>
    <t xml:space="preserve">Ninety One Million </t>
  </si>
  <si>
    <t xml:space="preserve">And Cents Ninety One </t>
  </si>
  <si>
    <t xml:space="preserve">Ninety Two </t>
  </si>
  <si>
    <t xml:space="preserve">Ninety Two Hundred </t>
  </si>
  <si>
    <t xml:space="preserve">Ninety Two Thousand </t>
  </si>
  <si>
    <t xml:space="preserve">Ninety Two Million </t>
  </si>
  <si>
    <t xml:space="preserve">And Cents Ninety Two </t>
  </si>
  <si>
    <t xml:space="preserve">Ninety Three </t>
  </si>
  <si>
    <t xml:space="preserve">Ninety Three Hundred </t>
  </si>
  <si>
    <t xml:space="preserve">Ninety Three Thousand </t>
  </si>
  <si>
    <t xml:space="preserve">Ninety Three Million </t>
  </si>
  <si>
    <t xml:space="preserve">And Cents Ninety Three </t>
  </si>
  <si>
    <t xml:space="preserve">Ninety Four </t>
  </si>
  <si>
    <t xml:space="preserve">Ninety Four Hundred </t>
  </si>
  <si>
    <t xml:space="preserve">Ninety Four Thousand </t>
  </si>
  <si>
    <t xml:space="preserve">Ninety Four Million </t>
  </si>
  <si>
    <t xml:space="preserve">And Cents Ninety Four </t>
  </si>
  <si>
    <t xml:space="preserve">Ninety Five </t>
  </si>
  <si>
    <t xml:space="preserve">Ninety Five Hundred </t>
  </si>
  <si>
    <t xml:space="preserve">Ninety Five Thousand </t>
  </si>
  <si>
    <t xml:space="preserve">Ninety Five Million </t>
  </si>
  <si>
    <t xml:space="preserve">And Cents Ninety Five </t>
  </si>
  <si>
    <t xml:space="preserve">Ninety Six </t>
  </si>
  <si>
    <t xml:space="preserve">Ninety Six Hundred </t>
  </si>
  <si>
    <t xml:space="preserve">Ninety Six Thousand </t>
  </si>
  <si>
    <t xml:space="preserve">Ninety Six Million  </t>
  </si>
  <si>
    <t xml:space="preserve">And Cents Ninety Six </t>
  </si>
  <si>
    <t xml:space="preserve">Ninety Seven </t>
  </si>
  <si>
    <t xml:space="preserve">Ninety Seven Hundred </t>
  </si>
  <si>
    <t xml:space="preserve">Ninety Seven Thousand </t>
  </si>
  <si>
    <t xml:space="preserve">Ninety Seven Million  </t>
  </si>
  <si>
    <t xml:space="preserve">And Cents Ninety Seven </t>
  </si>
  <si>
    <t xml:space="preserve">Ninety Eight </t>
  </si>
  <si>
    <t xml:space="preserve">Ninety Eight Hundred </t>
  </si>
  <si>
    <t xml:space="preserve">Ninety Eight Thousand </t>
  </si>
  <si>
    <t xml:space="preserve">Ninety Eight Million  </t>
  </si>
  <si>
    <t xml:space="preserve">And Cents Ninety Eight </t>
  </si>
  <si>
    <t xml:space="preserve">Ninety Nine </t>
  </si>
  <si>
    <t xml:space="preserve">Ninety Nine Hundred </t>
  </si>
  <si>
    <t xml:space="preserve">Ninety Nine Thousand </t>
  </si>
  <si>
    <t xml:space="preserve">Ninety Nine Million  </t>
  </si>
  <si>
    <t xml:space="preserve">And Cents Ninety Nine </t>
  </si>
  <si>
    <t>Text Figure</t>
  </si>
  <si>
    <t>Words</t>
  </si>
  <si>
    <t>**  Janet, the maximum amount is 99,999,999.00</t>
  </si>
  <si>
    <t>Million</t>
  </si>
  <si>
    <t>Hundred Thousand</t>
  </si>
  <si>
    <t>Thousand</t>
  </si>
  <si>
    <t>Hundred</t>
  </si>
  <si>
    <t>Ten</t>
  </si>
  <si>
    <t>Cents</t>
  </si>
  <si>
    <t>/th</t>
  </si>
  <si>
    <t>AMOUNT USD</t>
  </si>
  <si>
    <t>New Look Retailers Ltd.</t>
  </si>
  <si>
    <t>Mercery Road, Weymouth, Dorset, DT3 5HJ, UK.</t>
  </si>
  <si>
    <t>Carton Measurement : 59x29x33 CM.</t>
  </si>
  <si>
    <t>Buyer Bank:</t>
  </si>
  <si>
    <t xml:space="preserve">ECHOTEX LIMITED      </t>
  </si>
  <si>
    <t xml:space="preserve">MD. JAKIR HOSSAIN      </t>
  </si>
  <si>
    <t xml:space="preserve">Phone number </t>
  </si>
  <si>
    <t xml:space="preserve">01779 471806      </t>
  </si>
  <si>
    <t xml:space="preserve">Fax number </t>
  </si>
  <si>
    <t xml:space="preserve">(06822) 51876      </t>
  </si>
  <si>
    <t xml:space="preserve">E-mail address </t>
  </si>
  <si>
    <t xml:space="preserve">jakir@echotexbd.com      </t>
  </si>
  <si>
    <t xml:space="preserve">Consignee </t>
  </si>
  <si>
    <t xml:space="preserve">NEW LOOK      </t>
  </si>
  <si>
    <t xml:space="preserve">P/O number </t>
  </si>
  <si>
    <t xml:space="preserve">Place of receipt </t>
  </si>
  <si>
    <t xml:space="preserve">Place of departure </t>
  </si>
  <si>
    <t xml:space="preserve">Vessel name </t>
  </si>
  <si>
    <t xml:space="preserve">Place of discharge </t>
  </si>
  <si>
    <t xml:space="preserve">Voyage number </t>
  </si>
  <si>
    <t xml:space="preserve">Final destination </t>
  </si>
  <si>
    <t xml:space="preserve">ETD/ETA </t>
  </si>
  <si>
    <t xml:space="preserve">Freight terms </t>
  </si>
  <si>
    <t xml:space="preserve">Container No </t>
  </si>
  <si>
    <t xml:space="preserve">Verified gross mass (VGM) </t>
  </si>
  <si>
    <t xml:space="preserve">Description of goods </t>
  </si>
  <si>
    <t xml:space="preserve">The duly authorized contact person of the shipper (by name and signature provided in the statement) hereby certifies that the above mentioned shipment details have been evaluated carefully and according to the requirements of the International Convention for the Safety of Life at Sea (SOLAS); as they have been published in Chapter VI, Part A, Regulation 2 – Cargo Information.  </t>
  </si>
  <si>
    <t xml:space="preserve">We understand and confirm that missing, incorrect and/or belated VGM statements may result in non-acceptance of the shipment by the vessel operating ocean carriers and a delay in the originally planned schedule. Any additional cost caused by delay due to non-acceptance of the shipment by the carrier to be covered by VGM declaring part (as undersigned above). </t>
  </si>
  <si>
    <t xml:space="preserve">Verified Gross Mass (VGM) Statement </t>
  </si>
  <si>
    <t xml:space="preserve">Please type in all details in CAPITAL LETTERS; no handwriting. Items marked with * are mandatory. </t>
  </si>
  <si>
    <t xml:space="preserve">Shipper company name* </t>
  </si>
  <si>
    <t xml:space="preserve">Address* </t>
  </si>
  <si>
    <t xml:space="preserve">Authorized VGM contact* </t>
  </si>
  <si>
    <t>CHANDRA (POLLI BIDDUT), MOUCHAK, KALIAKOIR, GAZIPUR, BANGLADESH</t>
  </si>
  <si>
    <t xml:space="preserve">Submission date* </t>
  </si>
  <si>
    <t xml:space="preserve">Signature of authorized contact* </t>
  </si>
  <si>
    <t xml:space="preserve">T-SHIRT </t>
  </si>
  <si>
    <r>
      <t xml:space="preserve">Shipper invoice number </t>
    </r>
    <r>
      <rPr>
        <sz val="11"/>
        <color indexed="10"/>
        <rFont val="Arial"/>
        <family val="2"/>
      </rPr>
      <t>*</t>
    </r>
  </si>
  <si>
    <r>
      <t>Number and kind of Pkg</t>
    </r>
    <r>
      <rPr>
        <sz val="11"/>
        <color indexed="10"/>
        <rFont val="Arial"/>
        <family val="2"/>
      </rPr>
      <t xml:space="preserve">* </t>
    </r>
  </si>
  <si>
    <r>
      <t>in kilograms</t>
    </r>
    <r>
      <rPr>
        <sz val="11"/>
        <color indexed="10"/>
        <rFont val="Arial"/>
        <family val="2"/>
      </rPr>
      <t xml:space="preserve">* </t>
    </r>
  </si>
  <si>
    <t>CTN</t>
  </si>
  <si>
    <t>KGS</t>
  </si>
  <si>
    <t>Number of Registered Exporter: BDREX00955</t>
  </si>
  <si>
    <t>Date:</t>
  </si>
  <si>
    <t xml:space="preserve">ECHO SOURCING LIMITED
110-112 PARKWAY, CAMDEN,
LONDON, NW1 7AN, UK.
</t>
  </si>
  <si>
    <t xml:space="preserve">NEW LOOK REATAILERS LTD.
MERCERY ROAD, WEYMOUTH, 
DOREST, DT3 5HJ, UK.
</t>
  </si>
  <si>
    <t xml:space="preserve">ECHO-NEW LOOK
PO NUMBER
STYLE NO
SIZE
COLOUR
CARTON NUMBER
CARTONS
</t>
  </si>
  <si>
    <t xml:space="preserve">Invoice No. </t>
  </si>
  <si>
    <t>TOTAL</t>
  </si>
  <si>
    <t>Prog. No</t>
  </si>
  <si>
    <t>Description</t>
  </si>
  <si>
    <t>Sample Ref</t>
  </si>
  <si>
    <t>Colour CODE</t>
  </si>
  <si>
    <t>Carton QTY</t>
  </si>
  <si>
    <t>Quantity 
Pcs</t>
  </si>
  <si>
    <t>HS CODE</t>
  </si>
  <si>
    <t>Unit Price 
US$/Pc</t>
  </si>
  <si>
    <t>Shipper</t>
  </si>
  <si>
    <t>Notify</t>
  </si>
  <si>
    <t>Consignee</t>
  </si>
  <si>
    <t>Also Notify</t>
  </si>
  <si>
    <t>Shipping Mark</t>
  </si>
  <si>
    <t>Description of goods</t>
  </si>
  <si>
    <t>PO No</t>
  </si>
  <si>
    <t>We Certify that goods are of Bangladesh origin.</t>
  </si>
  <si>
    <t xml:space="preserve">ECHOTEX LIMITED
HEAD OFFICE: HOUSE # 139, LANE # 04, 
NEW DOHS, MOHAKHALI, DHAKA-1206.
FACTORY: CHANDRA (POLLI BIDDUT), 
MOUCHAK, KALIAKOIR, GAZIPUR, BANGLADESH.
</t>
  </si>
  <si>
    <t>Description of Goods: as per invoice</t>
  </si>
  <si>
    <t xml:space="preserve">TO THE ORDER OF 
STANDARD CHARTERED BANK
TRADE SERVICES- DHAKA, 
67 GULSHAN AVENUE,
DHAKA-1212, BANGLADESH.
</t>
  </si>
  <si>
    <t>CBM :</t>
  </si>
  <si>
    <t>Quantity 
Pks</t>
  </si>
  <si>
    <t>CBM</t>
  </si>
  <si>
    <r>
      <t xml:space="preserve">319 CTN
DESCRIPTION OF GOODS: AS PER COMMERCIAL INVOICE
PO NO: 3411176, 3411112, 3411113, 3411115, 3411206, 3411116, 3411131, 3411133, 3415481, 3411231, 3423606, 3415511, 3415660, 3427573, 3427565, 3427570
HS CODE: 6109.10.00
INVOICE NO: ETEX-18026NL/23 DATE: 30.01.2023
EXP NO: 2486-0099395-2023 DATE: 30.01.2023
CONTRACT NO: ECHOTEX/ECHO/NL/694/2021 DATE: 28.11.2021
SHIPPING BILL NO. C </t>
    </r>
    <r>
      <rPr>
        <sz val="10"/>
        <color indexed="10"/>
        <rFont val="Verdana"/>
        <family val="2"/>
      </rPr>
      <t xml:space="preserve">177509 </t>
    </r>
    <r>
      <rPr>
        <sz val="10"/>
        <rFont val="Verdana"/>
        <family val="2"/>
      </rPr>
      <t>DT. 30.01.2023</t>
    </r>
  </si>
  <si>
    <t>Shipment: By Air</t>
  </si>
  <si>
    <t>From : Dhaka Airport, Bangladesh</t>
  </si>
  <si>
    <t>To: LHR.</t>
  </si>
  <si>
    <t>HWBL No.:</t>
  </si>
  <si>
    <t>Carton Measurement : 59x29x19 CM.</t>
  </si>
  <si>
    <t>ITEM</t>
  </si>
  <si>
    <t xml:space="preserve">HSBC UK BANK PLC, </t>
  </si>
  <si>
    <t xml:space="preserve">GLOBAL TRADE SOLUTIONS, </t>
  </si>
  <si>
    <t>1ST FLOOR, 5 WESTERN BOULEVARD, BEDE ISLAND, LEICESTER, LE2 7EX</t>
  </si>
  <si>
    <t>Carton Measurement : 59x29x29 CM.</t>
  </si>
  <si>
    <t>Carton Measurement : 59x29x23 CM.</t>
  </si>
  <si>
    <t>KNIT</t>
  </si>
  <si>
    <t>Incoterm: CPT</t>
  </si>
  <si>
    <t>BLACK</t>
  </si>
  <si>
    <t>WHITE</t>
  </si>
  <si>
    <t>ETEX-35193</t>
  </si>
  <si>
    <t>NLJWFOR-0028</t>
  </si>
  <si>
    <t>SS26 FJ RACER BODY</t>
  </si>
  <si>
    <t>PO NO</t>
  </si>
  <si>
    <t>STL NO</t>
  </si>
  <si>
    <t>SAMPLE REF</t>
  </si>
  <si>
    <t>Nt. Wt
Per CTN</t>
  </si>
  <si>
    <t>Gr. Wt
Per CTN</t>
  </si>
  <si>
    <t>Total 
Nt. Wt</t>
  </si>
  <si>
    <t>Total Gr. Wt</t>
  </si>
  <si>
    <t>Code</t>
  </si>
  <si>
    <t>CTN no.</t>
  </si>
  <si>
    <t>CTN Qty</t>
  </si>
  <si>
    <t>Pcs/Ctn</t>
  </si>
  <si>
    <t>Total Pcs.</t>
  </si>
  <si>
    <t>SKU No</t>
  </si>
  <si>
    <t>SIZE-1</t>
  </si>
  <si>
    <t>Ctn Measurement</t>
  </si>
  <si>
    <t>"</t>
  </si>
  <si>
    <t>59X29X33</t>
  </si>
  <si>
    <t>59X29X19</t>
  </si>
  <si>
    <t>59X29X23</t>
  </si>
  <si>
    <t>59X29X37</t>
  </si>
  <si>
    <t>59X29X29</t>
  </si>
  <si>
    <t>Total</t>
  </si>
  <si>
    <t>END</t>
  </si>
  <si>
    <t>KTSN</t>
  </si>
  <si>
    <t>Net Wt:</t>
  </si>
  <si>
    <t>Gr. Wt:</t>
  </si>
  <si>
    <t>NORMAL</t>
  </si>
  <si>
    <t>Contract No. ETL/ESL/ALL/745/2024</t>
  </si>
  <si>
    <t>Date: 26/08/2024</t>
  </si>
  <si>
    <t>LADIES BODYSUIT</t>
  </si>
  <si>
    <t>EXP NO. 2486-031981-2026</t>
  </si>
  <si>
    <t>PO NO N</t>
  </si>
  <si>
    <r>
      <t xml:space="preserve">The exporter ECHOTEX LIMITED, REX- BDREX00955 of the products covered by this document declares that, except where otherwise clearly indicated, these  Products are of Bangaladesh preferential origin according to rules of origin of the Generalized System of Preferences of the EU and that the origin criterion met is "W" </t>
    </r>
    <r>
      <rPr>
        <b/>
        <sz val="12"/>
        <rFont val="Verdana"/>
        <family val="2"/>
      </rPr>
      <t>6104</t>
    </r>
  </si>
  <si>
    <r>
      <t xml:space="preserve">The exporter of the products covered by this document Echotex Ltd 000368453-0103 by request of NEW LOOK declares that, except where otherwise clearly indicated, these products are of Bangladesh preferential origin in accordance with the rules of origin of the Developing Countries Trading Scheme of the UK and that the origin criterion met is W </t>
    </r>
    <r>
      <rPr>
        <b/>
        <sz val="12"/>
        <rFont val="Verdana"/>
        <family val="2"/>
      </rPr>
      <t>6104</t>
    </r>
  </si>
  <si>
    <t>106725</t>
  </si>
  <si>
    <t>Date: 20/04/2026</t>
  </si>
  <si>
    <t>JWP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</si>
</sst>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_(* #,##0_);_(* \(#,##0\);_(* &quot;-&quot;??_);_(@_)"/>
    <numFmt numFmtId="165" formatCode="0.0000"/>
    <numFmt numFmtId="166" formatCode="0.000"/>
    <numFmt numFmtId="167" formatCode="#,###\ &quot;CTN&quot;"/>
  </numFmts>
  <fonts count="44">
    <font>
      <sz val="10"/>
      <name val="Arial"/>
    </font>
    <font>
      <sz val="10"/>
      <name val="Arial"/>
    </font>
    <font>
      <sz val="8"/>
      <name val="Arial"/>
      <family val="2"/>
    </font>
    <font>
      <b/>
      <sz val="10"/>
      <name val="Arial"/>
      <family val="2"/>
    </font>
    <font>
      <sz val="10"/>
      <name val="Arial"/>
      <family val="2"/>
    </font>
    <font>
      <sz val="10"/>
      <name val="Arial"/>
      <family val="2"/>
    </font>
    <font>
      <sz val="10"/>
      <name val="Arial Narrow"/>
      <family val="2"/>
    </font>
    <font>
      <b/>
      <sz val="10"/>
      <name val="Arial Narrow"/>
      <family val="2"/>
    </font>
    <font>
      <sz val="9"/>
      <name val="Courier New"/>
      <family val="3"/>
    </font>
    <font>
      <sz val="11"/>
      <name val="Arial"/>
      <family val="2"/>
    </font>
    <font>
      <sz val="10"/>
      <name val="Verdana"/>
      <family val="2"/>
    </font>
    <font>
      <sz val="9"/>
      <name val="Verdana"/>
      <family val="2"/>
    </font>
    <font>
      <sz val="8"/>
      <name val="Verdana"/>
      <family val="2"/>
    </font>
    <font>
      <b/>
      <sz val="9"/>
      <name val="Verdana"/>
      <family val="2"/>
    </font>
    <font>
      <b/>
      <sz val="11"/>
      <name val="Verdana"/>
      <family val="2"/>
    </font>
    <font>
      <sz val="11"/>
      <name val="Verdana"/>
      <family val="2"/>
    </font>
    <font>
      <b/>
      <u/>
      <sz val="11"/>
      <name val="Verdana"/>
      <family val="2"/>
    </font>
    <font>
      <b/>
      <sz val="10"/>
      <name val="Verdana"/>
      <family val="2"/>
    </font>
    <font>
      <sz val="10"/>
      <name val="Arial"/>
      <family val="2"/>
    </font>
    <font>
      <sz val="13"/>
      <name val="Arial"/>
      <family val="2"/>
    </font>
    <font>
      <b/>
      <sz val="12"/>
      <name val="Arial"/>
      <family val="2"/>
    </font>
    <font>
      <sz val="14"/>
      <name val="Arial"/>
      <family val="2"/>
    </font>
    <font>
      <sz val="12"/>
      <name val="Arial"/>
      <family val="2"/>
    </font>
    <font>
      <sz val="11"/>
      <color indexed="10"/>
      <name val="Arial"/>
      <family val="2"/>
    </font>
    <font>
      <sz val="11"/>
      <name val="Kozuka Gothic Pro M"/>
      <family val="2"/>
      <charset val="128"/>
    </font>
    <font>
      <b/>
      <u/>
      <sz val="9"/>
      <name val="Verdana"/>
      <family val="2"/>
    </font>
    <font>
      <b/>
      <sz val="8"/>
      <name val="Verdana"/>
      <family val="2"/>
    </font>
    <font>
      <sz val="9.5"/>
      <name val="Verdana"/>
      <family val="2"/>
    </font>
    <font>
      <sz val="10"/>
      <color indexed="10"/>
      <name val="Verdana"/>
      <family val="2"/>
    </font>
    <font>
      <sz val="10"/>
      <name val="Arial"/>
      <family val="2"/>
    </font>
    <font>
      <b/>
      <sz val="9"/>
      <name val="Aptos"/>
      <family val="2"/>
    </font>
    <font>
      <b/>
      <sz val="7"/>
      <name val="Verdana"/>
      <family val="2"/>
    </font>
    <font>
      <b/>
      <sz val="11"/>
      <color rgb="FF050707"/>
      <name val="Arial"/>
      <family val="2"/>
    </font>
    <font>
      <b/>
      <u/>
      <sz val="11"/>
      <color rgb="FF050707"/>
      <name val="Arial"/>
      <family val="2"/>
    </font>
    <font>
      <b/>
      <sz val="11"/>
      <color rgb="FF050707"/>
      <name val="Calibri"/>
      <family val="2"/>
    </font>
    <font>
      <b/>
      <u/>
      <sz val="16"/>
      <color theme="3"/>
      <name val="Arial"/>
      <family val="2"/>
    </font>
    <font>
      <sz val="13"/>
      <color rgb="FF050707"/>
      <name val="Arial"/>
      <family val="2"/>
    </font>
    <font>
      <sz val="12"/>
      <color rgb="FF050707"/>
      <name val="Arial"/>
      <family val="2"/>
    </font>
    <font>
      <b/>
      <sz val="12"/>
      <color rgb="FF050707"/>
      <name val="Arial"/>
      <family val="2"/>
    </font>
    <font>
      <sz val="11"/>
      <color rgb="FF00B0F0"/>
      <name val="Arial"/>
      <family val="2"/>
    </font>
    <font>
      <b/>
      <sz val="16"/>
      <name val="Verdana"/>
      <family val="2"/>
    </font>
    <font>
      <b/>
      <sz val="16"/>
      <name val="Bookman Old Style"/>
      <family val="1"/>
    </font>
    <font>
      <sz val="12"/>
      <name val="Verdana"/>
      <family val="2"/>
    </font>
    <font>
      <b/>
      <sz val="12"/>
      <name val="Verdana"/>
      <family val="2"/>
    </font>
  </fonts>
  <fills count="6">
    <fill>
      <patternFill patternType="none"/>
    </fill>
    <fill>
      <patternFill patternType="gray125"/>
    </fill>
    <fill>
      <patternFill patternType="solid">
        <fgColor indexed="13"/>
      </patternFill>
    </fill>
    <fill>
      <patternFill patternType="solid">
        <fgColor theme="0" tint="-0.249977111117893"/>
        <bgColor indexed="64"/>
      </patternFill>
    </fill>
    <fill>
      <patternFill patternType="solid">
        <fgColor rgb="FFFFFFFF"/>
        <bgColor indexed="64"/>
      </patternFill>
    </fill>
    <fill>
      <patternFill patternType="solid">
        <fgColor rgb="FFFFFF00"/>
        <bgColor indexed="64"/>
      </patternFill>
    </fill>
  </fills>
  <borders count="21">
    <border>
      <left/>
      <right/>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s>
  <cellStyleXfs count="13">
    <xf numFmtId="0" fontId="0" fillId="0" borderId="0"/>
    <xf numFmtId="43" fontId="4" fillId="0" borderId="0" applyFont="0" applyFill="0" applyBorder="0" applyAlignment="0" applyProtection="0"/>
    <xf numFmtId="43" fontId="4" fillId="0" borderId="0" applyFont="0" applyFill="0" applyBorder="0" applyAlignment="0" applyProtection="0"/>
    <xf numFmtId="43" fontId="5" fillId="0" borderId="0" applyFont="0" applyFill="0" applyBorder="0" applyAlignment="0" applyProtection="0"/>
    <xf numFmtId="43" fontId="4" fillId="0" borderId="0" applyFont="0" applyFill="0" applyBorder="0" applyAlignment="0" applyProtection="0"/>
    <xf numFmtId="43" fontId="18" fillId="0" borderId="0" applyFont="0" applyFill="0" applyBorder="0" applyAlignment="0" applyProtection="0"/>
    <xf numFmtId="43" fontId="29" fillId="0" borderId="0" applyFont="0" applyFill="0" applyBorder="0" applyAlignment="0" applyProtection="0"/>
    <xf numFmtId="44" fontId="1" fillId="0" borderId="0" applyFont="0" applyFill="0" applyBorder="0" applyAlignment="0" applyProtection="0"/>
    <xf numFmtId="44" fontId="4" fillId="0" borderId="0" applyFont="0" applyFill="0" applyBorder="0" applyAlignment="0" applyProtection="0"/>
    <xf numFmtId="44" fontId="18" fillId="0" borderId="0" applyFont="0" applyFill="0" applyBorder="0" applyAlignment="0" applyProtection="0"/>
    <xf numFmtId="0" fontId="4" fillId="0" borderId="0"/>
    <xf numFmtId="0" fontId="4" fillId="0" borderId="0"/>
    <xf numFmtId="0" fontId="4" fillId="0" borderId="0"/>
  </cellStyleXfs>
  <cellXfs count="304">
    <xf numFmtId="0" fontId="0" fillId="0" borderId="0" xfId="0"/>
    <xf numFmtId="0" fontId="6" fillId="0" borderId="0" xfId="11" applyFont="1" applyAlignment="1">
      <alignment vertical="center"/>
    </xf>
    <xf numFmtId="0" fontId="4" fillId="0" borderId="0" xfId="11"/>
    <xf numFmtId="0" fontId="8" fillId="0" borderId="0" xfId="11" applyFont="1"/>
    <xf numFmtId="0" fontId="8" fillId="0" borderId="0" xfId="11" quotePrefix="1" applyFont="1"/>
    <xf numFmtId="165" fontId="8" fillId="0" borderId="0" xfId="11" quotePrefix="1" applyNumberFormat="1" applyFont="1"/>
    <xf numFmtId="0" fontId="8" fillId="0" borderId="1" xfId="11" applyFont="1" applyBorder="1" applyAlignment="1">
      <alignment horizontal="left"/>
    </xf>
    <xf numFmtId="0" fontId="8" fillId="0" borderId="2" xfId="11" applyFont="1" applyBorder="1"/>
    <xf numFmtId="0" fontId="8" fillId="0" borderId="1" xfId="11" applyFont="1" applyBorder="1"/>
    <xf numFmtId="0" fontId="8" fillId="0" borderId="3" xfId="11" applyFont="1" applyBorder="1"/>
    <xf numFmtId="0" fontId="8" fillId="0" borderId="4" xfId="11" applyFont="1" applyBorder="1" applyAlignment="1">
      <alignment horizontal="left"/>
    </xf>
    <xf numFmtId="0" fontId="8" fillId="0" borderId="2" xfId="11" applyFont="1" applyBorder="1" applyAlignment="1">
      <alignment horizontal="left"/>
    </xf>
    <xf numFmtId="0" fontId="8" fillId="0" borderId="5" xfId="11" applyFont="1" applyBorder="1" applyAlignment="1">
      <alignment horizontal="left"/>
    </xf>
    <xf numFmtId="0" fontId="8" fillId="0" borderId="6" xfId="11" applyFont="1" applyBorder="1"/>
    <xf numFmtId="0" fontId="8" fillId="0" borderId="5" xfId="11" applyFont="1" applyBorder="1"/>
    <xf numFmtId="0" fontId="8" fillId="0" borderId="7" xfId="11" applyFont="1" applyBorder="1"/>
    <xf numFmtId="0" fontId="8" fillId="0" borderId="0" xfId="11" applyFont="1" applyAlignment="1">
      <alignment horizontal="left"/>
    </xf>
    <xf numFmtId="0" fontId="8" fillId="0" borderId="8" xfId="11" applyFont="1" applyBorder="1" applyAlignment="1">
      <alignment horizontal="left"/>
    </xf>
    <xf numFmtId="0" fontId="8" fillId="0" borderId="9" xfId="11" applyFont="1" applyBorder="1"/>
    <xf numFmtId="0" fontId="8" fillId="0" borderId="10" xfId="11" applyFont="1" applyBorder="1"/>
    <xf numFmtId="4" fontId="8" fillId="0" borderId="11" xfId="11" applyNumberFormat="1" applyFont="1" applyBorder="1"/>
    <xf numFmtId="0" fontId="8" fillId="0" borderId="3" xfId="11" applyFont="1" applyBorder="1" applyAlignment="1">
      <alignment horizontal="right"/>
    </xf>
    <xf numFmtId="0" fontId="8" fillId="2" borderId="0" xfId="11" applyFont="1" applyFill="1" applyAlignment="1">
      <alignment horizontal="left"/>
    </xf>
    <xf numFmtId="0" fontId="8" fillId="2" borderId="0" xfId="11" applyFont="1" applyFill="1"/>
    <xf numFmtId="0" fontId="8" fillId="0" borderId="0" xfId="11" applyFont="1" applyAlignment="1">
      <alignment horizontal="left" wrapText="1"/>
    </xf>
    <xf numFmtId="166" fontId="8" fillId="0" borderId="0" xfId="11" applyNumberFormat="1" applyFont="1"/>
    <xf numFmtId="0" fontId="32" fillId="0" borderId="0" xfId="11" applyFont="1" applyAlignment="1">
      <alignment horizontal="center" vertical="center"/>
    </xf>
    <xf numFmtId="0" fontId="33" fillId="0" borderId="0" xfId="11" applyFont="1" applyAlignment="1">
      <alignment horizontal="center" vertical="center"/>
    </xf>
    <xf numFmtId="0" fontId="34" fillId="0" borderId="0" xfId="11" applyFont="1" applyAlignment="1">
      <alignment vertical="center"/>
    </xf>
    <xf numFmtId="0" fontId="19" fillId="0" borderId="0" xfId="11" applyFont="1"/>
    <xf numFmtId="0" fontId="21" fillId="0" borderId="0" xfId="11" applyFont="1"/>
    <xf numFmtId="0" fontId="35" fillId="0" borderId="0" xfId="11" applyFont="1" applyAlignment="1">
      <alignment horizontal="left" vertical="center"/>
    </xf>
    <xf numFmtId="0" fontId="32" fillId="0" borderId="0" xfId="11" applyFont="1" applyAlignment="1">
      <alignment vertical="center"/>
    </xf>
    <xf numFmtId="0" fontId="36" fillId="0" borderId="2" xfId="11" applyFont="1" applyBorder="1" applyAlignment="1">
      <alignment vertical="center"/>
    </xf>
    <xf numFmtId="0" fontId="22" fillId="0" borderId="9" xfId="11" applyFont="1" applyBorder="1" applyAlignment="1">
      <alignment vertical="center"/>
    </xf>
    <xf numFmtId="0" fontId="22" fillId="0" borderId="2" xfId="11" applyFont="1" applyBorder="1" applyAlignment="1">
      <alignment vertical="center"/>
    </xf>
    <xf numFmtId="0" fontId="37" fillId="0" borderId="0" xfId="11" applyFont="1" applyAlignment="1">
      <alignment vertical="center"/>
    </xf>
    <xf numFmtId="0" fontId="37" fillId="0" borderId="2" xfId="11" applyFont="1" applyBorder="1" applyAlignment="1">
      <alignment vertical="center"/>
    </xf>
    <xf numFmtId="3" fontId="37" fillId="0" borderId="0" xfId="11" applyNumberFormat="1" applyFont="1" applyAlignment="1">
      <alignment horizontal="right" vertical="center"/>
    </xf>
    <xf numFmtId="0" fontId="37" fillId="0" borderId="5" xfId="11" applyFont="1" applyBorder="1" applyAlignment="1">
      <alignment vertical="center"/>
    </xf>
    <xf numFmtId="2" fontId="37" fillId="0" borderId="12" xfId="11" applyNumberFormat="1" applyFont="1" applyBorder="1" applyAlignment="1">
      <alignment vertical="center"/>
    </xf>
    <xf numFmtId="0" fontId="37" fillId="0" borderId="12" xfId="11" applyFont="1" applyBorder="1" applyAlignment="1">
      <alignment vertical="center"/>
    </xf>
    <xf numFmtId="0" fontId="9" fillId="0" borderId="0" xfId="11" applyFont="1"/>
    <xf numFmtId="0" fontId="22" fillId="0" borderId="10" xfId="11" applyFont="1" applyBorder="1" applyAlignment="1">
      <alignment vertical="center"/>
    </xf>
    <xf numFmtId="0" fontId="22" fillId="0" borderId="0" xfId="11" applyFont="1" applyAlignment="1">
      <alignment vertical="center"/>
    </xf>
    <xf numFmtId="0" fontId="19" fillId="0" borderId="0" xfId="11" applyFont="1" applyAlignment="1">
      <alignment vertical="center"/>
    </xf>
    <xf numFmtId="0" fontId="19" fillId="0" borderId="3" xfId="11" applyFont="1" applyBorder="1" applyAlignment="1">
      <alignment vertical="center"/>
    </xf>
    <xf numFmtId="0" fontId="22" fillId="0" borderId="12" xfId="11" applyFont="1" applyBorder="1" applyAlignment="1">
      <alignment vertical="center"/>
    </xf>
    <xf numFmtId="0" fontId="19" fillId="0" borderId="7" xfId="11" applyFont="1" applyBorder="1" applyAlignment="1">
      <alignment vertical="center"/>
    </xf>
    <xf numFmtId="0" fontId="22" fillId="3" borderId="10" xfId="11" applyFont="1" applyFill="1" applyBorder="1" applyAlignment="1">
      <alignment vertical="center"/>
    </xf>
    <xf numFmtId="0" fontId="9" fillId="3" borderId="0" xfId="11" applyFont="1" applyFill="1" applyAlignment="1">
      <alignment vertical="center"/>
    </xf>
    <xf numFmtId="0" fontId="4" fillId="3" borderId="0" xfId="11" applyFill="1" applyAlignment="1">
      <alignment vertical="center"/>
    </xf>
    <xf numFmtId="0" fontId="22" fillId="3" borderId="0" xfId="11" applyFont="1" applyFill="1" applyAlignment="1">
      <alignment vertical="center"/>
    </xf>
    <xf numFmtId="0" fontId="19" fillId="3" borderId="0" xfId="11" applyFont="1" applyFill="1" applyAlignment="1">
      <alignment vertical="center"/>
    </xf>
    <xf numFmtId="0" fontId="22" fillId="3" borderId="12" xfId="11" applyFont="1" applyFill="1" applyBorder="1" applyAlignment="1">
      <alignment vertical="center"/>
    </xf>
    <xf numFmtId="0" fontId="37" fillId="3" borderId="0" xfId="11" applyFont="1" applyFill="1" applyAlignment="1">
      <alignment vertical="center"/>
    </xf>
    <xf numFmtId="0" fontId="19" fillId="3" borderId="3" xfId="11" applyFont="1" applyFill="1" applyBorder="1" applyAlignment="1">
      <alignment vertical="center"/>
    </xf>
    <xf numFmtId="0" fontId="19" fillId="3" borderId="10" xfId="11" applyFont="1" applyFill="1" applyBorder="1" applyAlignment="1">
      <alignment vertical="center"/>
    </xf>
    <xf numFmtId="0" fontId="19" fillId="3" borderId="11" xfId="11" applyFont="1" applyFill="1" applyBorder="1" applyAlignment="1">
      <alignment vertical="center"/>
    </xf>
    <xf numFmtId="0" fontId="38" fillId="0" borderId="13" xfId="11" applyFont="1" applyBorder="1" applyAlignment="1">
      <alignment vertical="center"/>
    </xf>
    <xf numFmtId="0" fontId="20" fillId="0" borderId="14" xfId="11" applyFont="1" applyBorder="1"/>
    <xf numFmtId="0" fontId="19" fillId="0" borderId="15" xfId="11" applyFont="1" applyBorder="1"/>
    <xf numFmtId="0" fontId="39" fillId="4" borderId="13" xfId="11" applyFont="1" applyFill="1" applyBorder="1" applyAlignment="1">
      <alignment vertical="center"/>
    </xf>
    <xf numFmtId="0" fontId="4" fillId="0" borderId="14" xfId="11" applyBorder="1"/>
    <xf numFmtId="0" fontId="4" fillId="0" borderId="15" xfId="11" applyBorder="1"/>
    <xf numFmtId="0" fontId="20" fillId="0" borderId="0" xfId="11" applyFont="1" applyAlignment="1">
      <alignment vertical="top" wrapText="1"/>
    </xf>
    <xf numFmtId="0" fontId="9" fillId="0" borderId="9" xfId="11" applyFont="1" applyBorder="1" applyAlignment="1">
      <alignment vertical="center"/>
    </xf>
    <xf numFmtId="0" fontId="21" fillId="0" borderId="10" xfId="11" applyFont="1" applyBorder="1"/>
    <xf numFmtId="0" fontId="21" fillId="0" borderId="11" xfId="11" applyFont="1" applyBorder="1"/>
    <xf numFmtId="0" fontId="9" fillId="0" borderId="2" xfId="11" applyFont="1" applyBorder="1" applyAlignment="1">
      <alignment vertical="center"/>
    </xf>
    <xf numFmtId="0" fontId="9" fillId="4" borderId="2" xfId="11" applyFont="1" applyFill="1" applyBorder="1" applyAlignment="1">
      <alignment vertical="center"/>
    </xf>
    <xf numFmtId="0" fontId="9" fillId="0" borderId="5" xfId="11" applyFont="1" applyBorder="1" applyAlignment="1">
      <alignment vertical="center"/>
    </xf>
    <xf numFmtId="0" fontId="4" fillId="0" borderId="12" xfId="11" applyBorder="1"/>
    <xf numFmtId="0" fontId="9" fillId="0" borderId="12" xfId="11" applyFont="1" applyBorder="1"/>
    <xf numFmtId="0" fontId="20" fillId="0" borderId="13" xfId="11" applyFont="1" applyBorder="1" applyAlignment="1">
      <alignment vertical="top" wrapText="1"/>
    </xf>
    <xf numFmtId="0" fontId="20" fillId="0" borderId="14" xfId="11" applyFont="1" applyBorder="1" applyAlignment="1">
      <alignment vertical="top" wrapText="1"/>
    </xf>
    <xf numFmtId="0" fontId="20" fillId="0" borderId="15" xfId="11" applyFont="1" applyBorder="1" applyAlignment="1">
      <alignment vertical="top" wrapText="1"/>
    </xf>
    <xf numFmtId="0" fontId="9" fillId="0" borderId="0" xfId="11" applyFont="1" applyAlignment="1">
      <alignment vertical="top" wrapText="1"/>
    </xf>
    <xf numFmtId="0" fontId="9" fillId="0" borderId="9" xfId="11" applyFont="1" applyBorder="1" applyAlignment="1">
      <alignment vertical="top"/>
    </xf>
    <xf numFmtId="0" fontId="20" fillId="0" borderId="10" xfId="11" applyFont="1" applyBorder="1" applyAlignment="1">
      <alignment vertical="top" wrapText="1"/>
    </xf>
    <xf numFmtId="0" fontId="9" fillId="0" borderId="2" xfId="11" applyFont="1" applyBorder="1" applyAlignment="1">
      <alignment vertical="top"/>
    </xf>
    <xf numFmtId="0" fontId="9" fillId="0" borderId="0" xfId="11" applyFont="1" applyAlignment="1">
      <alignment vertical="top"/>
    </xf>
    <xf numFmtId="0" fontId="20" fillId="0" borderId="3" xfId="11" applyFont="1" applyBorder="1" applyAlignment="1">
      <alignment vertical="top" wrapText="1"/>
    </xf>
    <xf numFmtId="0" fontId="9" fillId="0" borderId="5" xfId="11" applyFont="1" applyBorder="1" applyAlignment="1">
      <alignment vertical="top"/>
    </xf>
    <xf numFmtId="0" fontId="20" fillId="0" borderId="12" xfId="11" applyFont="1" applyBorder="1" applyAlignment="1">
      <alignment vertical="top" wrapText="1"/>
    </xf>
    <xf numFmtId="0" fontId="9" fillId="3" borderId="12" xfId="11" applyFont="1" applyFill="1" applyBorder="1" applyAlignment="1">
      <alignment vertical="center"/>
    </xf>
    <xf numFmtId="0" fontId="22" fillId="3" borderId="7" xfId="11" applyFont="1" applyFill="1" applyBorder="1" applyAlignment="1">
      <alignment vertical="center"/>
    </xf>
    <xf numFmtId="3" fontId="9" fillId="3" borderId="0" xfId="11" applyNumberFormat="1" applyFont="1" applyFill="1" applyAlignment="1">
      <alignment horizontal="right" vertical="center"/>
    </xf>
    <xf numFmtId="2" fontId="22" fillId="0" borderId="0" xfId="11" applyNumberFormat="1" applyFont="1" applyAlignment="1">
      <alignment vertical="top"/>
    </xf>
    <xf numFmtId="0" fontId="22" fillId="0" borderId="0" xfId="11" applyFont="1" applyAlignment="1">
      <alignment vertical="top" wrapText="1"/>
    </xf>
    <xf numFmtId="0" fontId="10" fillId="5" borderId="8" xfId="11" applyFont="1" applyFill="1" applyBorder="1" applyAlignment="1">
      <alignment horizontal="center" vertical="center"/>
    </xf>
    <xf numFmtId="0" fontId="10" fillId="0" borderId="8" xfId="11" applyFont="1" applyBorder="1" applyAlignment="1">
      <alignment horizontal="left" vertical="top" wrapText="1"/>
    </xf>
    <xf numFmtId="0" fontId="10" fillId="0" borderId="0" xfId="11" applyFont="1" applyAlignment="1">
      <alignment horizontal="left" vertical="top"/>
    </xf>
    <xf numFmtId="0" fontId="4" fillId="0" borderId="0" xfId="11" applyAlignment="1">
      <alignment wrapText="1"/>
    </xf>
    <xf numFmtId="0" fontId="10" fillId="0" borderId="0" xfId="0" applyFont="1"/>
    <xf numFmtId="0" fontId="17" fillId="0" borderId="9" xfId="0" applyFont="1" applyBorder="1"/>
    <xf numFmtId="0" fontId="17" fillId="0" borderId="10" xfId="0" applyFont="1" applyBorder="1"/>
    <xf numFmtId="0" fontId="10" fillId="0" borderId="10" xfId="0" applyFont="1" applyBorder="1"/>
    <xf numFmtId="0" fontId="13" fillId="0" borderId="9" xfId="0" applyFont="1" applyBorder="1"/>
    <xf numFmtId="0" fontId="13" fillId="0" borderId="10" xfId="0" applyFont="1" applyBorder="1"/>
    <xf numFmtId="0" fontId="17" fillId="0" borderId="11" xfId="0" applyFont="1" applyBorder="1"/>
    <xf numFmtId="0" fontId="10" fillId="0" borderId="5" xfId="0" applyFont="1" applyBorder="1"/>
    <xf numFmtId="0" fontId="10" fillId="0" borderId="12" xfId="0" applyFont="1" applyBorder="1"/>
    <xf numFmtId="0" fontId="10" fillId="0" borderId="7" xfId="0" applyFont="1" applyBorder="1"/>
    <xf numFmtId="0" fontId="25" fillId="0" borderId="9" xfId="0" applyFont="1" applyBorder="1"/>
    <xf numFmtId="0" fontId="11" fillId="0" borderId="10" xfId="0" applyFont="1" applyBorder="1"/>
    <xf numFmtId="0" fontId="25" fillId="0" borderId="10" xfId="0" applyFont="1" applyBorder="1"/>
    <xf numFmtId="0" fontId="25" fillId="0" borderId="11" xfId="0" applyFont="1" applyBorder="1"/>
    <xf numFmtId="0" fontId="11" fillId="0" borderId="2" xfId="0" applyFont="1" applyBorder="1"/>
    <xf numFmtId="0" fontId="11" fillId="0" borderId="0" xfId="0" applyFont="1"/>
    <xf numFmtId="0" fontId="11" fillId="0" borderId="3" xfId="0" applyFont="1" applyBorder="1"/>
    <xf numFmtId="0" fontId="11" fillId="0" borderId="5" xfId="0" applyFont="1" applyBorder="1"/>
    <xf numFmtId="0" fontId="11" fillId="0" borderId="12" xfId="0" applyFont="1" applyBorder="1"/>
    <xf numFmtId="0" fontId="11" fillId="0" borderId="7" xfId="0" applyFont="1" applyBorder="1"/>
    <xf numFmtId="0" fontId="25" fillId="0" borderId="0" xfId="0" applyFont="1"/>
    <xf numFmtId="0" fontId="25" fillId="0" borderId="3" xfId="0" applyFont="1" applyBorder="1"/>
    <xf numFmtId="0" fontId="25" fillId="0" borderId="2" xfId="0" applyFont="1" applyBorder="1"/>
    <xf numFmtId="0" fontId="10" fillId="0" borderId="2" xfId="0" applyFont="1" applyBorder="1"/>
    <xf numFmtId="0" fontId="25" fillId="0" borderId="5" xfId="0" applyFont="1" applyBorder="1"/>
    <xf numFmtId="0" fontId="13" fillId="0" borderId="2" xfId="0" applyFont="1" applyBorder="1"/>
    <xf numFmtId="0" fontId="13" fillId="0" borderId="0" xfId="0" applyFont="1"/>
    <xf numFmtId="0" fontId="11" fillId="0" borderId="9" xfId="0" applyFont="1" applyBorder="1"/>
    <xf numFmtId="0" fontId="11" fillId="0" borderId="13" xfId="0" applyFont="1" applyBorder="1"/>
    <xf numFmtId="0" fontId="11" fillId="0" borderId="14" xfId="0" applyFont="1" applyBorder="1"/>
    <xf numFmtId="0" fontId="11" fillId="0" borderId="15" xfId="0" applyFont="1" applyBorder="1"/>
    <xf numFmtId="0" fontId="12" fillId="0" borderId="0" xfId="0" applyFont="1" applyAlignment="1">
      <alignment vertical="center"/>
    </xf>
    <xf numFmtId="0" fontId="26" fillId="0" borderId="0" xfId="0" applyFont="1" applyAlignment="1">
      <alignment horizontal="center" vertical="center"/>
    </xf>
    <xf numFmtId="2" fontId="26" fillId="0" borderId="0" xfId="0" applyNumberFormat="1" applyFont="1" applyAlignment="1">
      <alignment horizontal="center" vertical="center"/>
    </xf>
    <xf numFmtId="0" fontId="26" fillId="0" borderId="0" xfId="0" applyFont="1" applyAlignment="1">
      <alignment horizontal="left" vertical="center"/>
    </xf>
    <xf numFmtId="0" fontId="10" fillId="0" borderId="0" xfId="0" applyFont="1" applyAlignment="1">
      <alignment vertical="center"/>
    </xf>
    <xf numFmtId="3" fontId="26" fillId="0" borderId="0" xfId="0" applyNumberFormat="1" applyFont="1" applyAlignment="1">
      <alignment horizontal="center" vertical="center"/>
    </xf>
    <xf numFmtId="0" fontId="26" fillId="0" borderId="8" xfId="0" applyFont="1" applyBorder="1" applyAlignment="1">
      <alignment horizontal="center" vertical="center"/>
    </xf>
    <xf numFmtId="0" fontId="31" fillId="0" borderId="8" xfId="0" applyFont="1" applyBorder="1" applyAlignment="1">
      <alignment horizontal="center" vertical="center"/>
    </xf>
    <xf numFmtId="0" fontId="12" fillId="0" borderId="8" xfId="0" applyFont="1" applyBorder="1" applyAlignment="1">
      <alignment horizontal="center" vertical="center"/>
    </xf>
    <xf numFmtId="0" fontId="10" fillId="0" borderId="0" xfId="0" applyFont="1" applyAlignment="1">
      <alignment horizontal="center" vertical="center"/>
    </xf>
    <xf numFmtId="0" fontId="26" fillId="0" borderId="0" xfId="0" applyFont="1" applyAlignment="1">
      <alignment horizontal="right" vertical="center"/>
    </xf>
    <xf numFmtId="0" fontId="26" fillId="0" borderId="10" xfId="0" applyFont="1" applyBorder="1" applyAlignment="1">
      <alignment horizontal="right" vertical="center"/>
    </xf>
    <xf numFmtId="2" fontId="26" fillId="0" borderId="10" xfId="0" applyNumberFormat="1" applyFont="1" applyBorder="1" applyAlignment="1">
      <alignment vertical="center"/>
    </xf>
    <xf numFmtId="0" fontId="26" fillId="0" borderId="10" xfId="0" applyFont="1" applyBorder="1" applyAlignment="1">
      <alignment vertical="center"/>
    </xf>
    <xf numFmtId="0" fontId="12" fillId="0" borderId="12" xfId="0" applyFont="1" applyBorder="1" applyAlignment="1">
      <alignment vertical="center"/>
    </xf>
    <xf numFmtId="0" fontId="10" fillId="0" borderId="12" xfId="0" applyFont="1" applyBorder="1" applyAlignment="1">
      <alignment vertical="center"/>
    </xf>
    <xf numFmtId="0" fontId="10" fillId="0" borderId="8" xfId="5" applyNumberFormat="1" applyFont="1" applyFill="1" applyBorder="1" applyAlignment="1">
      <alignment horizontal="center" vertical="center"/>
    </xf>
    <xf numFmtId="3" fontId="12" fillId="0" borderId="0" xfId="0" applyNumberFormat="1" applyFont="1" applyAlignment="1">
      <alignment horizontal="right"/>
    </xf>
    <xf numFmtId="0" fontId="12" fillId="0" borderId="0" xfId="0" applyFont="1"/>
    <xf numFmtId="0" fontId="26" fillId="0" borderId="0" xfId="0" applyFont="1" applyAlignment="1">
      <alignment horizontal="center"/>
    </xf>
    <xf numFmtId="2" fontId="12" fillId="0" borderId="0" xfId="0" applyNumberFormat="1" applyFont="1" applyAlignment="1">
      <alignment horizontal="right"/>
    </xf>
    <xf numFmtId="0" fontId="26" fillId="0" borderId="0" xfId="0" applyFont="1" applyAlignment="1">
      <alignment vertical="center"/>
    </xf>
    <xf numFmtId="167" fontId="26" fillId="0" borderId="0" xfId="0" applyNumberFormat="1" applyFont="1" applyAlignment="1">
      <alignment vertical="center"/>
    </xf>
    <xf numFmtId="0" fontId="17" fillId="0" borderId="0" xfId="0" applyFont="1"/>
    <xf numFmtId="0" fontId="26" fillId="0" borderId="8" xfId="0" applyFont="1" applyBorder="1" applyAlignment="1">
      <alignment horizontal="center" vertical="center" wrapText="1"/>
    </xf>
    <xf numFmtId="0" fontId="26" fillId="0" borderId="0" xfId="0" applyFont="1" applyAlignment="1">
      <alignment horizontal="center" vertical="center" wrapText="1"/>
    </xf>
    <xf numFmtId="2" fontId="26" fillId="0" borderId="8" xfId="0" applyNumberFormat="1" applyFont="1" applyBorder="1" applyAlignment="1">
      <alignment vertical="center"/>
    </xf>
    <xf numFmtId="0" fontId="13" fillId="0" borderId="8" xfId="0" applyFont="1" applyBorder="1" applyAlignment="1">
      <alignment horizontal="center" vertical="center"/>
    </xf>
    <xf numFmtId="0" fontId="17" fillId="0" borderId="8" xfId="0" applyFont="1" applyBorder="1" applyAlignment="1">
      <alignment horizontal="center" vertical="center"/>
    </xf>
    <xf numFmtId="0" fontId="13" fillId="0" borderId="8" xfId="0" applyFont="1" applyBorder="1" applyAlignment="1">
      <alignment horizontal="center" vertical="center" wrapText="1"/>
    </xf>
    <xf numFmtId="0" fontId="13" fillId="0" borderId="15" xfId="0" applyFont="1" applyBorder="1" applyAlignment="1">
      <alignment horizontal="center" vertical="center" wrapText="1"/>
    </xf>
    <xf numFmtId="2" fontId="26" fillId="0" borderId="8" xfId="0" applyNumberFormat="1" applyFont="1" applyBorder="1" applyAlignment="1">
      <alignment horizontal="center" vertical="center" wrapText="1"/>
    </xf>
    <xf numFmtId="2" fontId="11" fillId="0" borderId="0" xfId="10" applyNumberFormat="1" applyFont="1" applyAlignment="1">
      <alignment horizontal="center" vertical="center"/>
    </xf>
    <xf numFmtId="0" fontId="12" fillId="0" borderId="15"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8" xfId="0" applyFont="1" applyBorder="1" applyAlignment="1">
      <alignment vertical="center"/>
    </xf>
    <xf numFmtId="2" fontId="12" fillId="0" borderId="8" xfId="0" applyNumberFormat="1" applyFont="1" applyBorder="1" applyAlignment="1">
      <alignment horizontal="center" vertical="center"/>
    </xf>
    <xf numFmtId="2" fontId="26" fillId="0" borderId="8" xfId="0" applyNumberFormat="1" applyFont="1" applyBorder="1" applyAlignment="1">
      <alignment horizontal="center" vertical="center"/>
    </xf>
    <xf numFmtId="2" fontId="12" fillId="0" borderId="6" xfId="0" applyNumberFormat="1" applyFont="1" applyBorder="1" applyAlignment="1">
      <alignment horizontal="center" vertical="center"/>
    </xf>
    <xf numFmtId="0" fontId="12" fillId="0" borderId="0" xfId="0" applyFont="1" applyAlignment="1">
      <alignment horizontal="center" vertical="center"/>
    </xf>
    <xf numFmtId="0" fontId="11" fillId="0" borderId="0" xfId="0" applyFont="1" applyAlignment="1">
      <alignment vertical="center"/>
    </xf>
    <xf numFmtId="2" fontId="13" fillId="0" borderId="8" xfId="0" applyNumberFormat="1" applyFont="1" applyBorder="1" applyAlignment="1">
      <alignment vertical="center"/>
    </xf>
    <xf numFmtId="0" fontId="10" fillId="0" borderId="8" xfId="10" applyFont="1" applyBorder="1" applyAlignment="1">
      <alignment horizontal="center" vertical="center"/>
    </xf>
    <xf numFmtId="0" fontId="4" fillId="0" borderId="0" xfId="0" applyFont="1"/>
    <xf numFmtId="0" fontId="14" fillId="0" borderId="9" xfId="0" applyFont="1" applyBorder="1" applyAlignment="1" applyProtection="1">
      <alignment vertical="center"/>
      <protection locked="0"/>
    </xf>
    <xf numFmtId="0" fontId="15" fillId="0" borderId="10" xfId="0" applyFont="1" applyBorder="1"/>
    <xf numFmtId="0" fontId="14" fillId="0" borderId="9" xfId="0" applyFont="1" applyBorder="1" applyProtection="1">
      <protection locked="0"/>
    </xf>
    <xf numFmtId="0" fontId="14" fillId="0" borderId="10" xfId="0" applyFont="1" applyBorder="1"/>
    <xf numFmtId="0" fontId="15" fillId="0" borderId="5" xfId="0" applyFont="1" applyBorder="1" applyProtection="1">
      <protection locked="0"/>
    </xf>
    <xf numFmtId="0" fontId="15" fillId="0" borderId="12" xfId="0" applyFont="1" applyBorder="1"/>
    <xf numFmtId="0" fontId="15" fillId="0" borderId="5" xfId="0" applyFont="1" applyBorder="1"/>
    <xf numFmtId="0" fontId="16" fillId="0" borderId="2" xfId="0" applyFont="1" applyBorder="1"/>
    <xf numFmtId="0" fontId="15" fillId="0" borderId="0" xfId="0" applyFont="1"/>
    <xf numFmtId="0" fontId="14" fillId="0" borderId="0" xfId="0" applyFont="1"/>
    <xf numFmtId="0" fontId="15" fillId="0" borderId="3" xfId="0" applyFont="1" applyBorder="1"/>
    <xf numFmtId="0" fontId="15" fillId="0" borderId="2" xfId="0" applyFont="1" applyBorder="1"/>
    <xf numFmtId="0" fontId="15" fillId="0" borderId="7" xfId="0" applyFont="1" applyBorder="1" applyProtection="1">
      <protection hidden="1"/>
    </xf>
    <xf numFmtId="0" fontId="16" fillId="0" borderId="0" xfId="0" applyFont="1"/>
    <xf numFmtId="0" fontId="16" fillId="0" borderId="0" xfId="0" applyFont="1" applyAlignment="1">
      <alignment horizontal="center" vertical="center"/>
    </xf>
    <xf numFmtId="3" fontId="15" fillId="0" borderId="0" xfId="0" applyNumberFormat="1" applyFont="1"/>
    <xf numFmtId="44" fontId="15" fillId="0" borderId="3" xfId="0" applyNumberFormat="1" applyFont="1" applyBorder="1"/>
    <xf numFmtId="0" fontId="15" fillId="0" borderId="0" xfId="0" applyFont="1" applyAlignment="1">
      <alignment horizontal="center" vertical="center"/>
    </xf>
    <xf numFmtId="0" fontId="15" fillId="0" borderId="11" xfId="0" applyFont="1" applyBorder="1"/>
    <xf numFmtId="0" fontId="15" fillId="0" borderId="7" xfId="0" applyFont="1" applyBorder="1"/>
    <xf numFmtId="0" fontId="15" fillId="0" borderId="12" xfId="0" applyFont="1" applyBorder="1" applyAlignment="1">
      <alignment horizontal="center" vertical="center"/>
    </xf>
    <xf numFmtId="3" fontId="15" fillId="0" borderId="12" xfId="0" applyNumberFormat="1" applyFont="1" applyBorder="1"/>
    <xf numFmtId="44" fontId="15" fillId="0" borderId="7" xfId="0" applyNumberFormat="1" applyFont="1" applyBorder="1"/>
    <xf numFmtId="0" fontId="14" fillId="0" borderId="2" xfId="0" applyFont="1" applyBorder="1"/>
    <xf numFmtId="0" fontId="15" fillId="0" borderId="2" xfId="0" applyFont="1" applyBorder="1" applyAlignment="1">
      <alignment vertical="top"/>
    </xf>
    <xf numFmtId="0" fontId="15" fillId="0" borderId="5" xfId="0" applyFont="1" applyBorder="1" applyAlignment="1">
      <alignment vertical="top"/>
    </xf>
    <xf numFmtId="0" fontId="17" fillId="0" borderId="9" xfId="0" applyFont="1" applyBorder="1" applyAlignment="1">
      <alignment vertical="center"/>
    </xf>
    <xf numFmtId="0" fontId="14" fillId="0" borderId="10" xfId="0" applyFont="1" applyBorder="1" applyAlignment="1">
      <alignment horizontal="center" vertical="center"/>
    </xf>
    <xf numFmtId="0" fontId="12" fillId="0" borderId="9" xfId="0" applyFont="1" applyBorder="1"/>
    <xf numFmtId="0" fontId="12" fillId="0" borderId="10" xfId="0" applyFont="1" applyBorder="1"/>
    <xf numFmtId="0" fontId="12" fillId="0" borderId="10" xfId="0" applyFont="1" applyBorder="1" applyProtection="1">
      <protection locked="0"/>
    </xf>
    <xf numFmtId="44" fontId="15" fillId="0" borderId="11" xfId="0" applyNumberFormat="1" applyFont="1" applyBorder="1"/>
    <xf numFmtId="0" fontId="16" fillId="0" borderId="9" xfId="0" applyFont="1" applyBorder="1" applyAlignment="1">
      <alignment vertical="top"/>
    </xf>
    <xf numFmtId="0" fontId="15" fillId="0" borderId="10" xfId="0" applyFont="1" applyBorder="1" applyAlignment="1">
      <alignment vertical="top"/>
    </xf>
    <xf numFmtId="0" fontId="15" fillId="0" borderId="11" xfId="0" applyFont="1" applyBorder="1" applyAlignment="1">
      <alignment vertical="top"/>
    </xf>
    <xf numFmtId="0" fontId="11" fillId="0" borderId="2" xfId="0" applyFont="1" applyBorder="1" applyAlignment="1">
      <alignment vertical="center"/>
    </xf>
    <xf numFmtId="0" fontId="12" fillId="0" borderId="2" xfId="0" applyFont="1" applyBorder="1"/>
    <xf numFmtId="0" fontId="12" fillId="0" borderId="0" xfId="0" quotePrefix="1" applyFont="1" applyProtection="1">
      <protection locked="0"/>
    </xf>
    <xf numFmtId="0" fontId="10" fillId="0" borderId="2" xfId="0" applyFont="1" applyBorder="1" applyAlignment="1">
      <alignment vertical="top"/>
    </xf>
    <xf numFmtId="0" fontId="15" fillId="0" borderId="0" xfId="0" applyFont="1" applyAlignment="1">
      <alignment vertical="top"/>
    </xf>
    <xf numFmtId="0" fontId="15" fillId="0" borderId="3" xfId="0" applyFont="1" applyBorder="1" applyAlignment="1">
      <alignment vertical="top"/>
    </xf>
    <xf numFmtId="0" fontId="12" fillId="0" borderId="0" xfId="0" applyFont="1" applyProtection="1">
      <protection locked="0"/>
    </xf>
    <xf numFmtId="0" fontId="27" fillId="0" borderId="5" xfId="0" applyFont="1" applyBorder="1" applyAlignment="1">
      <alignment vertical="top"/>
    </xf>
    <xf numFmtId="0" fontId="27" fillId="0" borderId="12" xfId="0" applyFont="1" applyBorder="1" applyAlignment="1">
      <alignment vertical="top" wrapText="1"/>
    </xf>
    <xf numFmtId="0" fontId="27" fillId="0" borderId="7" xfId="0" applyFont="1" applyBorder="1" applyAlignment="1">
      <alignment vertical="top" wrapText="1"/>
    </xf>
    <xf numFmtId="0" fontId="11" fillId="0" borderId="2" xfId="0" applyFont="1" applyBorder="1" applyAlignment="1">
      <alignment vertical="top"/>
    </xf>
    <xf numFmtId="0" fontId="12" fillId="0" borderId="2" xfId="0" applyFont="1" applyBorder="1" applyAlignment="1">
      <alignment vertical="top"/>
    </xf>
    <xf numFmtId="0" fontId="12" fillId="0" borderId="0" xfId="0" applyFont="1" applyAlignment="1">
      <alignment vertical="top"/>
    </xf>
    <xf numFmtId="0" fontId="12" fillId="0" borderId="0" xfId="0" applyFont="1" applyAlignment="1" applyProtection="1">
      <alignment vertical="top"/>
      <protection locked="0"/>
    </xf>
    <xf numFmtId="0" fontId="24" fillId="0" borderId="16" xfId="0" applyFont="1" applyBorder="1" applyAlignment="1">
      <alignment horizontal="center" vertical="center" wrapText="1"/>
    </xf>
    <xf numFmtId="0" fontId="10" fillId="0" borderId="0" xfId="0" applyFont="1" applyAlignment="1">
      <alignment wrapText="1"/>
    </xf>
    <xf numFmtId="0" fontId="10" fillId="0" borderId="8" xfId="0" applyFont="1" applyBorder="1" applyAlignment="1" applyProtection="1">
      <alignment horizontal="center" vertical="center" wrapText="1"/>
      <protection locked="0"/>
    </xf>
    <xf numFmtId="0" fontId="10" fillId="0" borderId="8" xfId="0" applyFont="1" applyBorder="1" applyAlignment="1" applyProtection="1">
      <alignment horizontal="center" vertical="center"/>
      <protection locked="0"/>
    </xf>
    <xf numFmtId="3" fontId="10" fillId="0" borderId="6" xfId="0" applyNumberFormat="1" applyFont="1" applyBorder="1" applyAlignment="1" applyProtection="1">
      <alignment horizontal="center" vertical="center"/>
      <protection locked="0"/>
    </xf>
    <xf numFmtId="0" fontId="10" fillId="0" borderId="6" xfId="0" applyFont="1" applyBorder="1" applyAlignment="1" applyProtection="1">
      <alignment horizontal="center" vertical="center"/>
      <protection locked="0"/>
    </xf>
    <xf numFmtId="0" fontId="10" fillId="0" borderId="6" xfId="0" applyFont="1" applyBorder="1" applyAlignment="1">
      <alignment horizontal="center" vertical="center"/>
    </xf>
    <xf numFmtId="44" fontId="10" fillId="0" borderId="8" xfId="7" applyFont="1" applyFill="1" applyBorder="1" applyAlignment="1">
      <alignment horizontal="center" vertical="center"/>
    </xf>
    <xf numFmtId="44" fontId="10" fillId="0" borderId="8" xfId="7" quotePrefix="1" applyFont="1" applyFill="1" applyBorder="1" applyAlignment="1" applyProtection="1">
      <alignment horizontal="center" vertical="center"/>
      <protection locked="0"/>
    </xf>
    <xf numFmtId="0" fontId="10" fillId="0" borderId="0" xfId="0" applyFont="1" applyAlignment="1" applyProtection="1">
      <alignment vertical="center"/>
      <protection locked="0"/>
    </xf>
    <xf numFmtId="0" fontId="10" fillId="0" borderId="6" xfId="0" applyFont="1" applyBorder="1" applyAlignment="1" applyProtection="1">
      <alignment vertical="center"/>
      <protection locked="0"/>
    </xf>
    <xf numFmtId="0" fontId="10" fillId="0" borderId="6" xfId="0" applyFont="1" applyBorder="1" applyAlignment="1" applyProtection="1">
      <alignment vertical="center" wrapText="1"/>
      <protection locked="0"/>
    </xf>
    <xf numFmtId="0" fontId="17" fillId="0" borderId="6" xfId="0" applyFont="1" applyBorder="1" applyAlignment="1" applyProtection="1">
      <alignment vertical="center"/>
      <protection locked="0"/>
    </xf>
    <xf numFmtId="3" fontId="10" fillId="0" borderId="6" xfId="0" quotePrefix="1" applyNumberFormat="1" applyFont="1" applyBorder="1" applyAlignment="1" applyProtection="1">
      <alignment horizontal="center" vertical="center"/>
      <protection locked="0"/>
    </xf>
    <xf numFmtId="44" fontId="10" fillId="0" borderId="6" xfId="7" applyFont="1" applyFill="1" applyBorder="1" applyAlignment="1" applyProtection="1">
      <alignment horizontal="right" vertical="center"/>
      <protection locked="0"/>
    </xf>
    <xf numFmtId="0" fontId="13" fillId="0" borderId="13" xfId="0" applyFont="1" applyBorder="1" applyAlignment="1">
      <alignment horizontal="center" vertical="center"/>
    </xf>
    <xf numFmtId="0" fontId="11" fillId="0" borderId="14" xfId="0" applyFont="1" applyBorder="1" applyAlignment="1">
      <alignment horizontal="center" vertical="center"/>
    </xf>
    <xf numFmtId="3" fontId="17" fillId="0" borderId="8" xfId="0" applyNumberFormat="1" applyFont="1" applyBorder="1" applyAlignment="1">
      <alignment horizontal="center" vertical="center"/>
    </xf>
    <xf numFmtId="44" fontId="17" fillId="0" borderId="8" xfId="7" applyFont="1" applyFill="1" applyBorder="1" applyAlignment="1">
      <alignment horizontal="center" vertical="center"/>
    </xf>
    <xf numFmtId="44" fontId="11" fillId="0" borderId="0" xfId="0" applyNumberFormat="1" applyFont="1" applyAlignment="1">
      <alignment vertical="center"/>
    </xf>
    <xf numFmtId="0" fontId="13" fillId="0" borderId="0" xfId="0" applyFont="1" applyAlignment="1">
      <alignment horizontal="center" vertical="center"/>
    </xf>
    <xf numFmtId="0" fontId="11" fillId="0" borderId="0" xfId="0" applyFont="1" applyAlignment="1">
      <alignment horizontal="center" vertical="center"/>
    </xf>
    <xf numFmtId="3" fontId="13" fillId="0" borderId="0" xfId="0" applyNumberFormat="1" applyFont="1" applyAlignment="1">
      <alignment horizontal="right" vertical="center"/>
    </xf>
    <xf numFmtId="44" fontId="12" fillId="0" borderId="0" xfId="7" applyFont="1" applyFill="1"/>
    <xf numFmtId="3" fontId="13" fillId="0" borderId="0" xfId="0" applyNumberFormat="1" applyFont="1"/>
    <xf numFmtId="44" fontId="10" fillId="0" borderId="0" xfId="0" applyNumberFormat="1" applyFont="1"/>
    <xf numFmtId="164" fontId="17" fillId="0" borderId="0" xfId="0" applyNumberFormat="1" applyFont="1"/>
    <xf numFmtId="3" fontId="17" fillId="0" borderId="0" xfId="0" applyNumberFormat="1" applyFont="1"/>
    <xf numFmtId="3" fontId="10" fillId="0" borderId="0" xfId="0" applyNumberFormat="1" applyFont="1"/>
    <xf numFmtId="43" fontId="17" fillId="0" borderId="0" xfId="0" applyNumberFormat="1" applyFont="1"/>
    <xf numFmtId="4" fontId="17" fillId="0" borderId="0" xfId="0" applyNumberFormat="1" applyFont="1"/>
    <xf numFmtId="0" fontId="10" fillId="0" borderId="0" xfId="0" applyFont="1" applyProtection="1">
      <protection locked="0"/>
    </xf>
    <xf numFmtId="167" fontId="11" fillId="0" borderId="0" xfId="0" applyNumberFormat="1" applyFont="1" applyAlignment="1">
      <alignment horizontal="left"/>
    </xf>
    <xf numFmtId="167" fontId="13" fillId="0" borderId="0" xfId="0" applyNumberFormat="1" applyFont="1" applyAlignment="1">
      <alignment horizontal="left"/>
    </xf>
    <xf numFmtId="0" fontId="17" fillId="0" borderId="0" xfId="0" applyFont="1" applyProtection="1">
      <protection locked="0"/>
    </xf>
    <xf numFmtId="0" fontId="4" fillId="0" borderId="0" xfId="0" applyFont="1" applyAlignment="1">
      <alignment horizontal="center" vertical="center"/>
    </xf>
    <xf numFmtId="3" fontId="4" fillId="0" borderId="0" xfId="0" applyNumberFormat="1" applyFont="1"/>
    <xf numFmtId="44" fontId="4" fillId="0" borderId="0" xfId="0" applyNumberFormat="1" applyFont="1"/>
    <xf numFmtId="0" fontId="10" fillId="0" borderId="8" xfId="0" applyFont="1" applyBorder="1" applyAlignment="1">
      <alignment horizontal="center" vertical="center" wrapText="1"/>
    </xf>
    <xf numFmtId="0" fontId="17" fillId="0" borderId="8" xfId="0" applyFont="1" applyBorder="1" applyAlignment="1">
      <alignment horizontal="center" vertical="center" wrapText="1"/>
    </xf>
    <xf numFmtId="44" fontId="17" fillId="0" borderId="8" xfId="2" applyNumberFormat="1" applyFont="1" applyFill="1" applyBorder="1" applyAlignment="1">
      <alignment vertical="center"/>
    </xf>
    <xf numFmtId="44" fontId="13" fillId="0" borderId="0" xfId="2" applyNumberFormat="1" applyFont="1" applyFill="1" applyBorder="1" applyAlignment="1">
      <alignment vertical="center"/>
    </xf>
    <xf numFmtId="0" fontId="14" fillId="0" borderId="10" xfId="0" quotePrefix="1" applyFont="1" applyBorder="1" applyAlignment="1" applyProtection="1">
      <alignment vertical="center"/>
      <protection locked="0"/>
    </xf>
    <xf numFmtId="0" fontId="10" fillId="0" borderId="3" xfId="0" applyFont="1" applyBorder="1"/>
    <xf numFmtId="49" fontId="26" fillId="0" borderId="8" xfId="0" applyNumberFormat="1" applyFont="1" applyBorder="1" applyAlignment="1">
      <alignment horizontal="center" vertical="center" wrapText="1"/>
    </xf>
    <xf numFmtId="0" fontId="41" fillId="0" borderId="12" xfId="0" applyFont="1" applyBorder="1" applyAlignment="1">
      <alignment horizontal="center"/>
    </xf>
    <xf numFmtId="49" fontId="12" fillId="0" borderId="13" xfId="0" applyNumberFormat="1" applyFont="1" applyBorder="1" applyAlignment="1">
      <alignment horizontal="center" vertical="center"/>
    </xf>
    <xf numFmtId="49" fontId="12" fillId="0" borderId="14" xfId="0" applyNumberFormat="1" applyFont="1" applyBorder="1" applyAlignment="1">
      <alignment horizontal="center" vertical="center"/>
    </xf>
    <xf numFmtId="49" fontId="12" fillId="0" borderId="15" xfId="0" applyNumberFormat="1" applyFont="1" applyBorder="1" applyAlignment="1">
      <alignment horizontal="center" vertical="center"/>
    </xf>
    <xf numFmtId="2" fontId="11" fillId="0" borderId="0" xfId="10" applyNumberFormat="1" applyFont="1" applyAlignment="1">
      <alignment horizontal="center" vertical="center"/>
    </xf>
    <xf numFmtId="2" fontId="11" fillId="0" borderId="12" xfId="10" applyNumberFormat="1" applyFont="1" applyBorder="1" applyAlignment="1">
      <alignment horizontal="center" vertical="center"/>
    </xf>
    <xf numFmtId="0" fontId="10" fillId="0" borderId="4" xfId="5" applyNumberFormat="1" applyFont="1" applyFill="1" applyBorder="1" applyAlignment="1">
      <alignment horizontal="center" vertical="center"/>
    </xf>
    <xf numFmtId="0" fontId="10" fillId="0" borderId="1" xfId="5" applyNumberFormat="1" applyFont="1" applyFill="1" applyBorder="1" applyAlignment="1">
      <alignment horizontal="center" vertical="center"/>
    </xf>
    <xf numFmtId="0" fontId="10" fillId="0" borderId="6" xfId="5" applyNumberFormat="1" applyFont="1" applyFill="1" applyBorder="1" applyAlignment="1">
      <alignment horizontal="center" vertical="center"/>
    </xf>
    <xf numFmtId="0" fontId="10" fillId="0" borderId="4" xfId="10" applyFont="1" applyBorder="1" applyAlignment="1">
      <alignment horizontal="center" vertical="center"/>
    </xf>
    <xf numFmtId="0" fontId="10" fillId="0" borderId="1" xfId="10" applyFont="1" applyBorder="1" applyAlignment="1">
      <alignment horizontal="center" vertical="center"/>
    </xf>
    <xf numFmtId="0" fontId="10" fillId="0" borderId="6" xfId="10" applyFont="1" applyBorder="1" applyAlignment="1">
      <alignment horizontal="center" vertical="center"/>
    </xf>
    <xf numFmtId="2" fontId="11" fillId="0" borderId="3" xfId="10" applyNumberFormat="1" applyFont="1" applyBorder="1" applyAlignment="1">
      <alignment horizontal="center" vertical="center"/>
    </xf>
    <xf numFmtId="0" fontId="31" fillId="0" borderId="13" xfId="0" applyFont="1" applyBorder="1" applyAlignment="1">
      <alignment horizontal="center" vertical="center"/>
    </xf>
    <xf numFmtId="0" fontId="31" fillId="0" borderId="15" xfId="0" applyFont="1" applyBorder="1" applyAlignment="1">
      <alignment horizontal="center" vertical="center"/>
    </xf>
    <xf numFmtId="0" fontId="26" fillId="0" borderId="13" xfId="0" applyFont="1" applyBorder="1" applyAlignment="1">
      <alignment horizontal="center" vertical="center"/>
    </xf>
    <xf numFmtId="0" fontId="26" fillId="0" borderId="14" xfId="0" applyFont="1" applyBorder="1" applyAlignment="1">
      <alignment horizontal="center" vertical="center"/>
    </xf>
    <xf numFmtId="0" fontId="26" fillId="0" borderId="15" xfId="0" applyFont="1" applyBorder="1" applyAlignment="1">
      <alignment horizontal="center" vertical="center"/>
    </xf>
    <xf numFmtId="0" fontId="17" fillId="0" borderId="9" xfId="0" applyFont="1" applyBorder="1" applyAlignment="1">
      <alignment horizontal="center" vertical="center"/>
    </xf>
    <xf numFmtId="0" fontId="17" fillId="0" borderId="10" xfId="0" applyFont="1" applyBorder="1" applyAlignment="1">
      <alignment horizontal="center" vertical="center"/>
    </xf>
    <xf numFmtId="0" fontId="17" fillId="0" borderId="11" xfId="0" applyFont="1" applyBorder="1" applyAlignment="1">
      <alignment horizontal="center" vertical="center"/>
    </xf>
    <xf numFmtId="0" fontId="3" fillId="0" borderId="9" xfId="0" applyFont="1" applyBorder="1" applyAlignment="1">
      <alignment horizontal="left" vertical="center"/>
    </xf>
    <xf numFmtId="0" fontId="3" fillId="0" borderId="10" xfId="0" applyFont="1" applyBorder="1" applyAlignment="1">
      <alignment horizontal="left" vertical="center"/>
    </xf>
    <xf numFmtId="0" fontId="3" fillId="0" borderId="11" xfId="0" applyFont="1" applyBorder="1" applyAlignment="1">
      <alignment horizontal="left" vertical="center"/>
    </xf>
    <xf numFmtId="0" fontId="3" fillId="0" borderId="5" xfId="0" applyFont="1" applyBorder="1" applyAlignment="1">
      <alignment horizontal="left" vertical="center"/>
    </xf>
    <xf numFmtId="0" fontId="3" fillId="0" borderId="12" xfId="0" applyFont="1" applyBorder="1" applyAlignment="1">
      <alignment horizontal="left" vertical="center"/>
    </xf>
    <xf numFmtId="0" fontId="3" fillId="0" borderId="7" xfId="0" applyFont="1" applyBorder="1" applyAlignment="1">
      <alignment horizontal="left" vertical="center"/>
    </xf>
    <xf numFmtId="0" fontId="42" fillId="0" borderId="17" xfId="12" applyFont="1" applyBorder="1" applyAlignment="1">
      <alignment horizontal="center" vertical="center" wrapText="1"/>
    </xf>
    <xf numFmtId="0" fontId="42" fillId="0" borderId="18" xfId="12" applyFont="1" applyBorder="1" applyAlignment="1">
      <alignment horizontal="center" vertical="center" wrapText="1"/>
    </xf>
    <xf numFmtId="0" fontId="42" fillId="0" borderId="19" xfId="12" applyFont="1" applyBorder="1" applyAlignment="1">
      <alignment horizontal="center" vertical="center" wrapText="1"/>
    </xf>
    <xf numFmtId="0" fontId="30" fillId="0" borderId="8" xfId="0" applyFont="1" applyBorder="1" applyAlignment="1">
      <alignment horizontal="center" vertical="center"/>
    </xf>
    <xf numFmtId="0" fontId="40" fillId="0" borderId="12" xfId="0" applyFont="1" applyBorder="1" applyAlignment="1">
      <alignment horizontal="center"/>
    </xf>
    <xf numFmtId="0" fontId="22" fillId="0" borderId="10" xfId="11" applyFont="1" applyBorder="1" applyAlignment="1">
      <alignment horizontal="center" vertical="top" wrapText="1"/>
    </xf>
    <xf numFmtId="0" fontId="22" fillId="0" borderId="11" xfId="11" applyFont="1" applyBorder="1" applyAlignment="1">
      <alignment horizontal="center" vertical="top" wrapText="1"/>
    </xf>
    <xf numFmtId="0" fontId="9" fillId="0" borderId="0" xfId="11" applyFont="1" applyAlignment="1">
      <alignment horizontal="left" vertical="top" wrapText="1"/>
    </xf>
    <xf numFmtId="44" fontId="7" fillId="0" borderId="0" xfId="8" applyFont="1" applyAlignment="1">
      <alignment vertical="center"/>
    </xf>
    <xf numFmtId="0" fontId="8" fillId="0" borderId="9" xfId="11" applyFont="1" applyBorder="1" applyAlignment="1">
      <alignment horizontal="center"/>
    </xf>
    <xf numFmtId="0" fontId="8" fillId="0" borderId="10" xfId="11" applyFont="1" applyBorder="1" applyAlignment="1">
      <alignment horizontal="center"/>
    </xf>
    <xf numFmtId="0" fontId="8" fillId="0" borderId="11" xfId="11" applyFont="1" applyBorder="1" applyAlignment="1">
      <alignment horizontal="center"/>
    </xf>
    <xf numFmtId="0" fontId="8" fillId="0" borderId="2" xfId="11" applyFont="1" applyBorder="1" applyAlignment="1">
      <alignment horizontal="justify"/>
    </xf>
    <xf numFmtId="0" fontId="8" fillId="0" borderId="0" xfId="11" applyFont="1" applyAlignment="1">
      <alignment horizontal="justify"/>
    </xf>
  </cellXfs>
  <cellStyles count="13">
    <cellStyle name="Comma 10" xfId="1" xr:uid="{8FDCC6AF-B552-4536-834E-4AAC292F8423}"/>
    <cellStyle name="Comma 2 2" xfId="2" xr:uid="{CEBB9536-0F80-4E91-AD0C-0E772FE8146B}"/>
    <cellStyle name="Comma 5" xfId="3" xr:uid="{61771775-102A-45DC-AEF0-5FAEC838E3F6}"/>
    <cellStyle name="Comma 5 2" xfId="4" xr:uid="{A817CA81-A5A7-437D-BF84-67E8F5F194E8}"/>
    <cellStyle name="Comma 6" xfId="5" xr:uid="{855D69D1-FC3D-4992-A639-35C8B5C75F0F}"/>
    <cellStyle name="Comma 7" xfId="6" xr:uid="{CF650131-FD85-4311-BB08-580233AE49A1}"/>
    <cellStyle name="Currency" xfId="7" builtinId="4"/>
    <cellStyle name="Currency 2 2" xfId="8" xr:uid="{710AE68E-0E5E-4D70-92AA-FCE8F0B12262}"/>
    <cellStyle name="Currency 3" xfId="9" xr:uid="{2975B0D4-8556-475D-B9A7-EE94344573B1}"/>
    <cellStyle name="Normal" xfId="0" builtinId="0"/>
    <cellStyle name="Normal 11 2" xfId="10" xr:uid="{9A6045AE-2BDE-477F-B48B-0A14EABD34FE}"/>
    <cellStyle name="Normal 2" xfId="11" xr:uid="{8286037A-9275-4621-85DE-346ED0318F4F}"/>
    <cellStyle name="Normal 4" xfId="12" xr:uid="{196F7EBB-D3FB-4475-9347-9E048F97F40B}"/>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xdr:col>
      <xdr:colOff>200025</xdr:colOff>
      <xdr:row>0</xdr:row>
      <xdr:rowOff>0</xdr:rowOff>
    </xdr:from>
    <xdr:to>
      <xdr:col>10</xdr:col>
      <xdr:colOff>581025</xdr:colOff>
      <xdr:row>4</xdr:row>
      <xdr:rowOff>28575</xdr:rowOff>
    </xdr:to>
    <xdr:pic>
      <xdr:nvPicPr>
        <xdr:cNvPr id="64764" name="Picture 1">
          <a:extLst>
            <a:ext uri="{FF2B5EF4-FFF2-40B4-BE49-F238E27FC236}">
              <a16:creationId xmlns:a16="http://schemas.microsoft.com/office/drawing/2014/main" id="{DB3602B7-9911-3994-7E37-17BEB7E734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38425" y="0"/>
          <a:ext cx="446722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28575</xdr:colOff>
      <xdr:row>40</xdr:row>
      <xdr:rowOff>152400</xdr:rowOff>
    </xdr:from>
    <xdr:to>
      <xdr:col>10</xdr:col>
      <xdr:colOff>609600</xdr:colOff>
      <xdr:row>43</xdr:row>
      <xdr:rowOff>152400</xdr:rowOff>
    </xdr:to>
    <xdr:pic>
      <xdr:nvPicPr>
        <xdr:cNvPr id="64765" name="Picture 2">
          <a:extLst>
            <a:ext uri="{FF2B5EF4-FFF2-40B4-BE49-F238E27FC236}">
              <a16:creationId xmlns:a16="http://schemas.microsoft.com/office/drawing/2014/main" id="{CE6C276C-6CCF-FE50-C87C-45BA866F47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575" y="9296400"/>
          <a:ext cx="710565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xdr:colOff>
      <xdr:row>18</xdr:row>
      <xdr:rowOff>2009775</xdr:rowOff>
    </xdr:from>
    <xdr:to>
      <xdr:col>4</xdr:col>
      <xdr:colOff>38100</xdr:colOff>
      <xdr:row>18</xdr:row>
      <xdr:rowOff>2590800</xdr:rowOff>
    </xdr:to>
    <xdr:pic>
      <xdr:nvPicPr>
        <xdr:cNvPr id="64766" name="Picture 3">
          <a:extLst>
            <a:ext uri="{FF2B5EF4-FFF2-40B4-BE49-F238E27FC236}">
              <a16:creationId xmlns:a16="http://schemas.microsoft.com/office/drawing/2014/main" id="{72BF348D-C294-7AEF-782C-6276786A365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8650" y="4724400"/>
          <a:ext cx="18478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209550</xdr:colOff>
      <xdr:row>13</xdr:row>
      <xdr:rowOff>0</xdr:rowOff>
    </xdr:from>
    <xdr:to>
      <xdr:col>9</xdr:col>
      <xdr:colOff>571500</xdr:colOff>
      <xdr:row>15</xdr:row>
      <xdr:rowOff>276225</xdr:rowOff>
    </xdr:to>
    <xdr:pic>
      <xdr:nvPicPr>
        <xdr:cNvPr id="64767" name="Picture 6">
          <a:extLst>
            <a:ext uri="{FF2B5EF4-FFF2-40B4-BE49-F238E27FC236}">
              <a16:creationId xmlns:a16="http://schemas.microsoft.com/office/drawing/2014/main" id="{4460ACE6-A827-8FD3-7773-4BD3CF40027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867150" y="2914650"/>
          <a:ext cx="2647950"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3C245-8C00-4799-AF86-43824B5D0126}">
  <sheetPr>
    <pageSetUpPr fitToPage="1"/>
  </sheetPr>
  <dimension ref="A1:O4"/>
  <sheetViews>
    <sheetView showGridLines="0" view="pageBreakPreview" topLeftCell="B1" zoomScale="150" zoomScaleNormal="150" zoomScaleSheetLayoutView="150" workbookViewId="0">
      <selection activeCell="I2" sqref="I2"/>
    </sheetView>
  </sheetViews>
  <sheetFormatPr defaultColWidth="9.109375" defaultRowHeight="13.2"/>
  <cols>
    <col min="1" max="1" width="14.109375" style="168" customWidth="1"/>
    <col min="2" max="2" width="10.109375" style="168" customWidth="1"/>
    <col min="3" max="3" width="13" style="168" customWidth="1"/>
    <col min="4" max="4" width="16.33203125" style="168" customWidth="1"/>
    <col min="5" max="5" width="11.5546875" style="168" customWidth="1"/>
    <col min="6" max="7" width="11.44140625" style="168" customWidth="1"/>
    <col min="8" max="8" width="9.44140625" style="168" customWidth="1"/>
    <col min="9" max="9" width="12.44140625" style="168" customWidth="1"/>
    <col min="10" max="10" width="8.88671875" style="253" customWidth="1"/>
    <col min="11" max="11" width="8.88671875" style="254" customWidth="1"/>
    <col min="12" max="12" width="9.44140625" style="254" customWidth="1"/>
    <col min="13" max="13" width="10" style="168" customWidth="1"/>
    <col min="14" max="14" width="18.5546875" style="255" customWidth="1"/>
    <col min="15" max="15" width="9.33203125" style="168" customWidth="1"/>
    <col min="16" max="16" width="8.109375" style="168" customWidth="1"/>
    <col min="17" max="17" width="2.6640625" style="168" customWidth="1"/>
    <col min="18" max="16384" width="9.109375" style="168"/>
  </cols>
  <sheetData>
    <row r="1" spans="1:15" ht="21" customHeight="1" thickBot="1">
      <c r="A1" s="263" t="s">
        <v>17</v>
      </c>
      <c r="B1" s="263"/>
      <c r="C1" s="263"/>
      <c r="D1" s="263"/>
      <c r="E1" s="263"/>
      <c r="F1" s="263"/>
      <c r="G1" s="263"/>
      <c r="H1" s="263"/>
      <c r="I1" s="263"/>
      <c r="J1" s="263"/>
      <c r="K1" s="263"/>
      <c r="L1" s="263"/>
      <c r="M1" s="263"/>
      <c r="N1" s="263"/>
    </row>
    <row r="2" spans="1:15" s="219" customFormat="1" ht="51" customHeight="1" thickTop="1" thickBot="1">
      <c r="A2" s="218" t="s">
        <v>598</v>
      </c>
      <c r="B2" s="218" t="s">
        <v>2</v>
      </c>
      <c r="C2" s="218" t="s">
        <v>600</v>
      </c>
      <c r="D2" s="218" t="s">
        <v>599</v>
      </c>
      <c r="E2" s="218" t="s">
        <v>626</v>
      </c>
      <c r="F2" s="218" t="s">
        <v>604</v>
      </c>
      <c r="G2" s="218" t="s">
        <v>3</v>
      </c>
      <c r="H2" s="218" t="s">
        <v>601</v>
      </c>
      <c r="I2" s="218" t="s">
        <v>612</v>
      </c>
      <c r="J2" s="218" t="s">
        <v>602</v>
      </c>
      <c r="K2" s="218" t="s">
        <v>618</v>
      </c>
      <c r="L2" s="218" t="s">
        <v>603</v>
      </c>
      <c r="M2" s="218" t="s">
        <v>605</v>
      </c>
      <c r="N2" s="218" t="s">
        <v>548</v>
      </c>
    </row>
    <row r="3" spans="1:15" s="227" customFormat="1" ht="39" customHeight="1" thickTop="1">
      <c r="A3" s="256" t="s">
        <v>636</v>
      </c>
      <c r="B3" s="256">
        <v>9477005</v>
      </c>
      <c r="C3" s="256" t="s">
        <v>637</v>
      </c>
      <c r="D3" s="256" t="s">
        <v>638</v>
      </c>
      <c r="E3" s="220" t="s">
        <v>668</v>
      </c>
      <c r="F3" s="221">
        <v>61042900</v>
      </c>
      <c r="G3" s="256" t="s">
        <v>634</v>
      </c>
      <c r="H3" s="256">
        <v>1</v>
      </c>
      <c r="I3" s="257">
        <v>3670521</v>
      </c>
      <c r="J3" s="222">
        <f>'Packing List proposed format A'!F13</f>
        <v>2</v>
      </c>
      <c r="K3" s="223"/>
      <c r="L3" s="224">
        <f>'Packing List proposed format A'!H13</f>
        <v>200</v>
      </c>
      <c r="M3" s="225">
        <v>3.04</v>
      </c>
      <c r="N3" s="226">
        <f>L3*M3</f>
        <v>608</v>
      </c>
      <c r="O3" s="227">
        <v>3.04</v>
      </c>
    </row>
    <row r="4" spans="1:15" s="227" customFormat="1" ht="39" customHeight="1">
      <c r="A4" s="256" t="s">
        <v>636</v>
      </c>
      <c r="B4" s="256">
        <v>9477005</v>
      </c>
      <c r="C4" s="256" t="s">
        <v>637</v>
      </c>
      <c r="D4" s="256" t="s">
        <v>638</v>
      </c>
      <c r="E4" s="220" t="s">
        <v>668</v>
      </c>
      <c r="F4" s="221">
        <v>61042900</v>
      </c>
      <c r="G4" s="256" t="s">
        <v>635</v>
      </c>
      <c r="H4" s="256">
        <v>10</v>
      </c>
      <c r="I4" s="257">
        <v>3670519</v>
      </c>
      <c r="J4" s="222" t="e">
        <f>'Packing List proposed format A'!#REF!</f>
        <v>#REF!</v>
      </c>
      <c r="K4" s="223"/>
      <c r="L4" s="224" t="e">
        <f>'Packing List proposed format A'!#REF!</f>
        <v>#REF!</v>
      </c>
      <c r="M4" s="225">
        <v>3.04</v>
      </c>
      <c r="N4" s="226" t="e">
        <f>L4*M4</f>
        <v>#REF!</v>
      </c>
      <c r="O4" s="227">
        <v>3.04</v>
      </c>
    </row>
  </sheetData>
  <autoFilter ref="A2:P3" xr:uid="{924F938E-45E4-43FE-8F8B-32013AE787CA}"/>
  <mergeCells count="1">
    <mergeCell ref="A1:N1"/>
  </mergeCells>
  <printOptions horizontalCentered="1"/>
  <pageMargins left="0.39370078740157483" right="0.15748031496062992" top="1.1417322834645669" bottom="0.74803149606299213" header="0.51181102362204722" footer="0.19685039370078741"/>
  <pageSetup paperSize="9" scale="6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86EE2-9D8A-48BB-B585-B1596108728A}">
  <sheetPr>
    <pageSetUpPr fitToPage="1"/>
  </sheetPr>
  <dimension ref="A1:AK17"/>
  <sheetViews>
    <sheetView showGridLines="0" view="pageBreakPreview" zoomScale="90" zoomScaleNormal="100" zoomScaleSheetLayoutView="90" workbookViewId="0">
      <selection activeCell="A15" sqref="A15"/>
    </sheetView>
  </sheetViews>
  <sheetFormatPr defaultColWidth="8.88671875" defaultRowHeight="15" customHeight="1"/>
  <cols>
    <col min="1" max="1" width="16" style="94" customWidth="1"/>
    <col min="2" max="2" width="9.33203125" style="94" customWidth="1"/>
    <col min="3" max="3" width="10.88671875" style="94" customWidth="1"/>
    <col min="4" max="4" width="8.88671875" style="94" customWidth="1"/>
    <col min="5" max="5" width="12.6640625" style="94" customWidth="1"/>
    <col min="6" max="6" width="18" style="94" customWidth="1"/>
    <col min="7" max="7" width="15" style="94" customWidth="1"/>
    <col min="8" max="9" width="10.5546875" style="134" customWidth="1"/>
    <col min="10" max="10" width="7.44140625" style="134" customWidth="1"/>
    <col min="11" max="11" width="7.5546875" style="134" customWidth="1"/>
    <col min="12" max="12" width="12.5546875" style="94" customWidth="1"/>
    <col min="13" max="13" width="6.6640625" style="94" customWidth="1"/>
    <col min="14" max="14" width="6.88671875" style="94" customWidth="1"/>
    <col min="15" max="16" width="9.109375" style="94" bestFit="1" customWidth="1"/>
    <col min="17" max="18" width="9.33203125" style="94" bestFit="1" customWidth="1"/>
    <col min="19" max="21" width="9.109375" style="94" bestFit="1" customWidth="1"/>
    <col min="22" max="22" width="10.5546875" style="94" bestFit="1" customWidth="1"/>
    <col min="23" max="23" width="11.44140625" style="94" bestFit="1" customWidth="1"/>
    <col min="24" max="24" width="10.44140625" style="94" bestFit="1" customWidth="1"/>
    <col min="25" max="36" width="9.33203125" style="94" bestFit="1" customWidth="1"/>
    <col min="37" max="37" width="9.109375" style="94" bestFit="1" customWidth="1"/>
    <col min="38" max="38" width="9" style="94" bestFit="1" customWidth="1"/>
    <col min="39" max="16384" width="8.88671875" style="94"/>
  </cols>
  <sheetData>
    <row r="1" spans="1:37" s="129" customFormat="1" ht="15.9" customHeight="1">
      <c r="A1" s="149" t="s">
        <v>639</v>
      </c>
      <c r="B1" s="149">
        <f>X1</f>
        <v>3670521</v>
      </c>
      <c r="C1" s="149" t="s">
        <v>640</v>
      </c>
      <c r="D1" s="149">
        <f>Z1</f>
        <v>9477005</v>
      </c>
      <c r="E1" s="149" t="s">
        <v>641</v>
      </c>
      <c r="F1" s="149" t="str">
        <f>AB1</f>
        <v>NLJWFOR-0028</v>
      </c>
      <c r="G1" s="149" t="str">
        <f>AC1</f>
        <v>ETEX-35193</v>
      </c>
      <c r="H1" s="150"/>
      <c r="I1" s="150"/>
      <c r="J1" s="126"/>
      <c r="K1" s="126"/>
      <c r="L1" s="130"/>
      <c r="M1" s="126"/>
      <c r="N1" s="126"/>
      <c r="P1" s="150" t="s">
        <v>642</v>
      </c>
      <c r="Q1" s="150" t="s">
        <v>643</v>
      </c>
      <c r="R1" s="150" t="s">
        <v>644</v>
      </c>
      <c r="S1" s="150" t="s">
        <v>645</v>
      </c>
      <c r="W1" s="149" t="s">
        <v>670</v>
      </c>
      <c r="X1" s="149">
        <v>3670521</v>
      </c>
      <c r="Y1" s="149" t="s">
        <v>640</v>
      </c>
      <c r="Z1" s="149">
        <v>9477005</v>
      </c>
      <c r="AA1" s="149" t="s">
        <v>641</v>
      </c>
      <c r="AB1" s="149" t="s">
        <v>637</v>
      </c>
      <c r="AC1" s="149" t="s">
        <v>636</v>
      </c>
      <c r="AD1" s="151" t="s">
        <v>634</v>
      </c>
      <c r="AE1" s="149">
        <v>1</v>
      </c>
    </row>
    <row r="2" spans="1:37" s="129" customFormat="1" ht="15.9" customHeight="1">
      <c r="A2" s="150"/>
      <c r="B2" s="150"/>
      <c r="C2" s="150"/>
      <c r="D2" s="150"/>
      <c r="E2" s="150"/>
      <c r="F2" s="150"/>
      <c r="G2" s="150"/>
      <c r="H2" s="150"/>
      <c r="I2" s="150"/>
      <c r="J2" s="126"/>
      <c r="K2" s="126"/>
      <c r="L2" s="130"/>
      <c r="M2" s="126"/>
      <c r="N2" s="126"/>
      <c r="P2" s="150"/>
      <c r="Q2" s="150"/>
      <c r="R2" s="150"/>
      <c r="S2" s="150"/>
      <c r="V2" s="152" t="s">
        <v>639</v>
      </c>
      <c r="W2" s="153">
        <f>B1</f>
        <v>3670521</v>
      </c>
    </row>
    <row r="3" spans="1:37" s="129" customFormat="1" ht="15.9" customHeight="1">
      <c r="A3" s="131" t="s">
        <v>3</v>
      </c>
      <c r="B3" s="131" t="s">
        <v>646</v>
      </c>
      <c r="C3" s="131" t="s">
        <v>9</v>
      </c>
      <c r="D3" s="276" t="s">
        <v>647</v>
      </c>
      <c r="E3" s="277"/>
      <c r="F3" s="132" t="s">
        <v>648</v>
      </c>
      <c r="G3" s="132" t="s">
        <v>649</v>
      </c>
      <c r="H3" s="132" t="s">
        <v>650</v>
      </c>
      <c r="I3" s="278" t="s">
        <v>651</v>
      </c>
      <c r="J3" s="279"/>
      <c r="K3" s="280"/>
      <c r="L3" s="130"/>
      <c r="M3" s="126"/>
      <c r="N3" s="126"/>
      <c r="P3" s="150"/>
      <c r="Q3" s="150"/>
      <c r="R3" s="150"/>
      <c r="S3" s="150"/>
      <c r="V3" s="152" t="s">
        <v>652</v>
      </c>
      <c r="W3" s="154">
        <v>4</v>
      </c>
      <c r="X3" s="155">
        <v>6</v>
      </c>
      <c r="Y3" s="154">
        <v>8</v>
      </c>
      <c r="Z3" s="154">
        <v>10</v>
      </c>
      <c r="AA3" s="154">
        <v>12</v>
      </c>
      <c r="AB3" s="154">
        <v>14</v>
      </c>
      <c r="AC3" s="154">
        <v>16</v>
      </c>
      <c r="AD3" s="154">
        <v>18</v>
      </c>
      <c r="AE3" s="154">
        <v>20</v>
      </c>
      <c r="AF3" s="154">
        <v>22</v>
      </c>
      <c r="AG3" s="154">
        <v>24</v>
      </c>
      <c r="AH3" s="154">
        <v>26</v>
      </c>
      <c r="AI3" s="154">
        <v>28</v>
      </c>
      <c r="AJ3" s="152">
        <v>30</v>
      </c>
      <c r="AK3" s="152">
        <v>32</v>
      </c>
    </row>
    <row r="4" spans="1:37" s="129" customFormat="1" ht="15.9" customHeight="1">
      <c r="A4" s="156" t="str">
        <f>AD1</f>
        <v>BLACK</v>
      </c>
      <c r="B4" s="149">
        <f>AE1</f>
        <v>1</v>
      </c>
      <c r="C4" s="133">
        <v>14</v>
      </c>
      <c r="D4" s="269">
        <v>1</v>
      </c>
      <c r="E4" s="269">
        <f>F4</f>
        <v>1</v>
      </c>
      <c r="F4" s="272">
        <v>1</v>
      </c>
      <c r="G4" s="133">
        <v>56</v>
      </c>
      <c r="H4" s="133">
        <f>F4*G4</f>
        <v>56</v>
      </c>
      <c r="I4" s="264">
        <v>9477034</v>
      </c>
      <c r="J4" s="265"/>
      <c r="K4" s="266"/>
      <c r="L4" s="130"/>
      <c r="M4" s="134"/>
      <c r="N4" s="134"/>
      <c r="O4" s="134"/>
      <c r="P4" s="267">
        <f>Q4-1.05</f>
        <v>9.75</v>
      </c>
      <c r="Q4" s="267">
        <v>10.8</v>
      </c>
      <c r="R4" s="267">
        <f>P4*F4</f>
        <v>9.75</v>
      </c>
      <c r="S4" s="275">
        <f>Q4*F4</f>
        <v>10.8</v>
      </c>
      <c r="T4" s="131" t="s">
        <v>653</v>
      </c>
      <c r="U4" s="131"/>
      <c r="V4" s="131"/>
      <c r="W4" s="158"/>
      <c r="X4" s="159">
        <v>9477030</v>
      </c>
      <c r="Y4" s="159">
        <v>9477033</v>
      </c>
      <c r="Z4" s="159">
        <v>9477028</v>
      </c>
      <c r="AA4" s="159">
        <v>9477031</v>
      </c>
      <c r="AB4" s="159">
        <v>9477034</v>
      </c>
      <c r="AC4" s="159">
        <v>9477036</v>
      </c>
      <c r="AD4" s="159">
        <v>9477027</v>
      </c>
      <c r="AE4" s="159">
        <v>9477029</v>
      </c>
      <c r="AF4" s="159">
        <v>9477032</v>
      </c>
      <c r="AG4" s="153"/>
      <c r="AH4" s="153"/>
      <c r="AI4" s="153"/>
      <c r="AJ4" s="153"/>
      <c r="AK4" s="153"/>
    </row>
    <row r="5" spans="1:37" s="129" customFormat="1" ht="15.9" customHeight="1">
      <c r="A5" s="133" t="s">
        <v>654</v>
      </c>
      <c r="B5" s="133" t="s">
        <v>654</v>
      </c>
      <c r="C5" s="133">
        <v>16</v>
      </c>
      <c r="D5" s="270"/>
      <c r="E5" s="270"/>
      <c r="F5" s="273"/>
      <c r="G5" s="133">
        <v>32</v>
      </c>
      <c r="H5" s="133">
        <f>G5</f>
        <v>32</v>
      </c>
      <c r="I5" s="264">
        <v>9477036</v>
      </c>
      <c r="J5" s="265"/>
      <c r="K5" s="266"/>
      <c r="L5" s="130"/>
      <c r="M5" s="134"/>
      <c r="N5" s="134"/>
      <c r="O5" s="134"/>
      <c r="P5" s="267"/>
      <c r="Q5" s="267"/>
      <c r="R5" s="267"/>
      <c r="S5" s="275"/>
      <c r="T5" s="160" t="s">
        <v>655</v>
      </c>
      <c r="U5" s="131">
        <f>F13-U6</f>
        <v>0</v>
      </c>
      <c r="V5" s="161">
        <f>0.59*0.29*0.33*U5</f>
        <v>0</v>
      </c>
      <c r="W5" s="133" t="s">
        <v>597</v>
      </c>
      <c r="X5" s="131">
        <f>SUM(U5:U9)</f>
        <v>2</v>
      </c>
      <c r="Y5" s="162">
        <f>SUM(V5:V9)</f>
        <v>6.5017999999999992E-2</v>
      </c>
    </row>
    <row r="6" spans="1:37" s="129" customFormat="1" ht="15.9" customHeight="1">
      <c r="A6" s="133" t="s">
        <v>654</v>
      </c>
      <c r="B6" s="133" t="s">
        <v>654</v>
      </c>
      <c r="C6" s="133">
        <v>20</v>
      </c>
      <c r="D6" s="271"/>
      <c r="E6" s="271"/>
      <c r="F6" s="274"/>
      <c r="G6" s="133">
        <v>8</v>
      </c>
      <c r="H6" s="133">
        <f>G6</f>
        <v>8</v>
      </c>
      <c r="I6" s="264">
        <v>9477029</v>
      </c>
      <c r="J6" s="265"/>
      <c r="K6" s="266"/>
      <c r="L6" s="130"/>
      <c r="M6" s="134"/>
      <c r="N6" s="134"/>
      <c r="O6" s="134"/>
      <c r="P6" s="267"/>
      <c r="Q6" s="267"/>
      <c r="R6" s="267"/>
      <c r="S6" s="275"/>
      <c r="T6" s="160" t="s">
        <v>656</v>
      </c>
      <c r="U6" s="131">
        <v>2</v>
      </c>
      <c r="V6" s="163">
        <f>0.59*0.29*0.19*U6</f>
        <v>6.5017999999999992E-2</v>
      </c>
    </row>
    <row r="7" spans="1:37" s="129" customFormat="1" ht="15.9" customHeight="1">
      <c r="A7" s="133" t="s">
        <v>654</v>
      </c>
      <c r="B7" s="133" t="s">
        <v>654</v>
      </c>
      <c r="C7" s="133">
        <v>6</v>
      </c>
      <c r="D7" s="269">
        <v>2</v>
      </c>
      <c r="E7" s="269">
        <v>2</v>
      </c>
      <c r="F7" s="272">
        <v>1</v>
      </c>
      <c r="G7" s="133">
        <v>4</v>
      </c>
      <c r="H7" s="133">
        <f>F7*G7</f>
        <v>4</v>
      </c>
      <c r="I7" s="264">
        <v>9477030</v>
      </c>
      <c r="J7" s="265"/>
      <c r="K7" s="266"/>
      <c r="L7" s="130"/>
      <c r="M7" s="134"/>
      <c r="N7" s="134"/>
      <c r="O7" s="134"/>
      <c r="P7" s="267">
        <f>Q7-1.05</f>
        <v>10.35</v>
      </c>
      <c r="Q7" s="267">
        <v>11.4</v>
      </c>
      <c r="R7" s="267">
        <f>P7*F7</f>
        <v>10.35</v>
      </c>
      <c r="S7" s="267">
        <f>Q7*F7</f>
        <v>11.4</v>
      </c>
      <c r="T7" s="160" t="s">
        <v>657</v>
      </c>
      <c r="U7" s="131"/>
      <c r="V7" s="163">
        <f>0.59*0.29*0.23*U7</f>
        <v>0</v>
      </c>
    </row>
    <row r="8" spans="1:37" s="129" customFormat="1" ht="15.9" customHeight="1">
      <c r="A8" s="133" t="s">
        <v>654</v>
      </c>
      <c r="B8" s="133" t="s">
        <v>654</v>
      </c>
      <c r="C8" s="133">
        <v>8</v>
      </c>
      <c r="D8" s="270"/>
      <c r="E8" s="270"/>
      <c r="F8" s="273"/>
      <c r="G8" s="133">
        <v>6</v>
      </c>
      <c r="H8" s="133">
        <f>G8</f>
        <v>6</v>
      </c>
      <c r="I8" s="264">
        <v>9477033</v>
      </c>
      <c r="J8" s="265"/>
      <c r="K8" s="266"/>
      <c r="L8" s="130"/>
      <c r="M8" s="134"/>
      <c r="N8" s="134"/>
      <c r="O8" s="134"/>
      <c r="P8" s="267"/>
      <c r="Q8" s="267"/>
      <c r="R8" s="267"/>
      <c r="S8" s="267"/>
      <c r="T8" s="160" t="s">
        <v>658</v>
      </c>
      <c r="U8" s="131"/>
      <c r="V8" s="163">
        <f>0.59*0.29*0.37*U8</f>
        <v>0</v>
      </c>
    </row>
    <row r="9" spans="1:37" s="129" customFormat="1" ht="15.9" customHeight="1">
      <c r="A9" s="133" t="s">
        <v>654</v>
      </c>
      <c r="B9" s="133" t="s">
        <v>654</v>
      </c>
      <c r="C9" s="133">
        <v>10</v>
      </c>
      <c r="D9" s="270"/>
      <c r="E9" s="270"/>
      <c r="F9" s="273"/>
      <c r="G9" s="133">
        <v>16</v>
      </c>
      <c r="H9" s="133">
        <f>G9</f>
        <v>16</v>
      </c>
      <c r="I9" s="264">
        <v>9477028</v>
      </c>
      <c r="J9" s="265"/>
      <c r="K9" s="266"/>
      <c r="L9" s="130"/>
      <c r="M9" s="134"/>
      <c r="N9" s="134"/>
      <c r="O9" s="134"/>
      <c r="P9" s="267"/>
      <c r="Q9" s="267"/>
      <c r="R9" s="267"/>
      <c r="S9" s="267"/>
      <c r="T9" s="160" t="s">
        <v>659</v>
      </c>
      <c r="U9" s="131"/>
      <c r="V9" s="163">
        <f>0.59*0.29*0.29*U9</f>
        <v>0</v>
      </c>
    </row>
    <row r="10" spans="1:37" s="129" customFormat="1" ht="15.9" customHeight="1">
      <c r="A10" s="133" t="s">
        <v>654</v>
      </c>
      <c r="B10" s="133" t="s">
        <v>654</v>
      </c>
      <c r="C10" s="133">
        <v>12</v>
      </c>
      <c r="D10" s="270"/>
      <c r="E10" s="270"/>
      <c r="F10" s="273"/>
      <c r="G10" s="133">
        <v>46</v>
      </c>
      <c r="H10" s="133">
        <f>G10</f>
        <v>46</v>
      </c>
      <c r="I10" s="264">
        <v>9477031</v>
      </c>
      <c r="J10" s="265"/>
      <c r="K10" s="266"/>
      <c r="L10" s="130"/>
      <c r="M10" s="134"/>
      <c r="N10" s="126"/>
      <c r="O10" s="134"/>
      <c r="P10" s="267"/>
      <c r="Q10" s="267"/>
      <c r="R10" s="267"/>
      <c r="S10" s="267"/>
    </row>
    <row r="11" spans="1:37" s="129" customFormat="1" ht="15.9" customHeight="1">
      <c r="A11" s="133" t="s">
        <v>654</v>
      </c>
      <c r="B11" s="133" t="s">
        <v>654</v>
      </c>
      <c r="C11" s="133">
        <v>18</v>
      </c>
      <c r="D11" s="270"/>
      <c r="E11" s="270"/>
      <c r="F11" s="273"/>
      <c r="G11" s="133">
        <v>28</v>
      </c>
      <c r="H11" s="133">
        <f>G11</f>
        <v>28</v>
      </c>
      <c r="I11" s="264">
        <v>9477027</v>
      </c>
      <c r="J11" s="265"/>
      <c r="K11" s="266"/>
      <c r="L11" s="130"/>
      <c r="M11" s="134"/>
      <c r="N11" s="126"/>
      <c r="O11" s="134"/>
      <c r="P11" s="267"/>
      <c r="Q11" s="267"/>
      <c r="R11" s="267"/>
      <c r="S11" s="267"/>
      <c r="T11" s="164"/>
      <c r="U11" s="126"/>
      <c r="V11" s="127"/>
    </row>
    <row r="12" spans="1:37" s="129" customFormat="1" ht="15.9" customHeight="1">
      <c r="A12" s="133" t="s">
        <v>654</v>
      </c>
      <c r="B12" s="133" t="s">
        <v>654</v>
      </c>
      <c r="C12" s="133">
        <v>22</v>
      </c>
      <c r="D12" s="271"/>
      <c r="E12" s="271"/>
      <c r="F12" s="274"/>
      <c r="G12" s="133">
        <v>4</v>
      </c>
      <c r="H12" s="133">
        <f>G12</f>
        <v>4</v>
      </c>
      <c r="I12" s="264">
        <v>9477032</v>
      </c>
      <c r="J12" s="265"/>
      <c r="K12" s="266"/>
      <c r="L12" s="130"/>
      <c r="M12" s="134"/>
      <c r="N12" s="126"/>
      <c r="O12" s="134"/>
      <c r="P12" s="267"/>
      <c r="Q12" s="267"/>
      <c r="R12" s="268"/>
      <c r="S12" s="268"/>
      <c r="T12" s="164"/>
      <c r="U12" s="126"/>
      <c r="V12" s="127"/>
    </row>
    <row r="13" spans="1:37" s="129" customFormat="1" ht="15.9" customHeight="1">
      <c r="A13" s="131" t="s">
        <v>660</v>
      </c>
      <c r="B13" s="131"/>
      <c r="C13" s="131" t="s">
        <v>661</v>
      </c>
      <c r="D13" s="131"/>
      <c r="E13" s="131"/>
      <c r="F13" s="131">
        <f>SUM(F4:F12)</f>
        <v>2</v>
      </c>
      <c r="G13" s="133"/>
      <c r="H13" s="131">
        <f>SUM(H4:H12)</f>
        <v>200</v>
      </c>
      <c r="I13" s="264" t="s">
        <v>662</v>
      </c>
      <c r="J13" s="265"/>
      <c r="K13" s="266"/>
      <c r="L13" s="130"/>
      <c r="M13" s="126"/>
      <c r="N13" s="126"/>
      <c r="P13" s="165"/>
      <c r="Q13" s="165"/>
      <c r="R13" s="166">
        <f>SUM(R4:R12)</f>
        <v>20.100000000000001</v>
      </c>
      <c r="S13" s="166">
        <f>SUM(S4:S12)</f>
        <v>22.200000000000003</v>
      </c>
    </row>
    <row r="14" spans="1:37" s="129" customFormat="1" ht="15.9" customHeight="1">
      <c r="A14" s="126"/>
      <c r="B14" s="135" t="s">
        <v>663</v>
      </c>
      <c r="C14" s="127">
        <f>R13</f>
        <v>20.100000000000001</v>
      </c>
      <c r="D14" s="128" t="s">
        <v>19</v>
      </c>
      <c r="E14" s="128"/>
      <c r="F14" s="135" t="s">
        <v>664</v>
      </c>
      <c r="G14" s="127">
        <f>S13</f>
        <v>22.200000000000003</v>
      </c>
      <c r="H14" s="128" t="s">
        <v>19</v>
      </c>
      <c r="I14" s="136" t="s">
        <v>619</v>
      </c>
      <c r="J14" s="137">
        <f>Y5</f>
        <v>6.5017999999999992E-2</v>
      </c>
      <c r="K14" s="138"/>
      <c r="L14" s="130"/>
      <c r="M14" s="126"/>
      <c r="N14" s="126"/>
      <c r="P14" s="139"/>
      <c r="Q14" s="139"/>
      <c r="R14" s="139"/>
      <c r="S14" s="139"/>
      <c r="T14" s="140"/>
      <c r="U14" s="140"/>
      <c r="V14" s="140"/>
      <c r="W14" s="140" t="s">
        <v>665</v>
      </c>
      <c r="X14" s="140"/>
    </row>
    <row r="15" spans="1:37" s="129" customFormat="1" ht="15.9" customHeight="1">
      <c r="A15" s="125"/>
      <c r="B15" s="126"/>
      <c r="C15" s="127"/>
      <c r="D15" s="128"/>
      <c r="E15" s="126"/>
      <c r="F15" s="126"/>
      <c r="G15" s="126"/>
      <c r="H15" s="127"/>
      <c r="I15" s="127"/>
      <c r="J15" s="127"/>
      <c r="K15" s="127"/>
      <c r="L15" s="126"/>
    </row>
    <row r="16" spans="1:37" s="129" customFormat="1" ht="15.9" customHeight="1">
      <c r="A16" s="125"/>
      <c r="B16" s="126"/>
      <c r="C16" s="127"/>
      <c r="D16" s="128"/>
      <c r="E16" s="126"/>
      <c r="F16" s="126"/>
      <c r="G16" s="126"/>
      <c r="H16" s="127"/>
      <c r="I16" s="127"/>
      <c r="J16" s="127"/>
      <c r="K16" s="127"/>
      <c r="L16" s="126"/>
    </row>
    <row r="17" spans="1:11" ht="12.15" customHeight="1">
      <c r="A17" s="148"/>
      <c r="C17" s="143"/>
      <c r="D17" s="143"/>
      <c r="E17" s="144"/>
      <c r="F17" s="144"/>
      <c r="H17" s="94"/>
      <c r="I17" s="94"/>
      <c r="J17" s="94"/>
      <c r="K17" s="94"/>
    </row>
  </sheetData>
  <mergeCells count="26">
    <mergeCell ref="D3:E3"/>
    <mergeCell ref="I3:K3"/>
    <mergeCell ref="D4:D6"/>
    <mergeCell ref="E4:E6"/>
    <mergeCell ref="F4:F6"/>
    <mergeCell ref="I4:K4"/>
    <mergeCell ref="P4:P6"/>
    <mergeCell ref="Q4:Q6"/>
    <mergeCell ref="R4:R6"/>
    <mergeCell ref="S4:S6"/>
    <mergeCell ref="I5:K5"/>
    <mergeCell ref="I6:K6"/>
    <mergeCell ref="D7:D12"/>
    <mergeCell ref="E7:E12"/>
    <mergeCell ref="F7:F12"/>
    <mergeCell ref="I7:K7"/>
    <mergeCell ref="P7:P12"/>
    <mergeCell ref="I13:K13"/>
    <mergeCell ref="R7:R12"/>
    <mergeCell ref="S7:S12"/>
    <mergeCell ref="I8:K8"/>
    <mergeCell ref="I9:K9"/>
    <mergeCell ref="I10:K10"/>
    <mergeCell ref="I11:K11"/>
    <mergeCell ref="I12:K12"/>
    <mergeCell ref="Q7:Q12"/>
  </mergeCells>
  <dataValidations count="1">
    <dataValidation type="list" allowBlank="1" showInputMessage="1" showErrorMessage="1" sqref="Y5 V3:V4" xr:uid="{9522FD8C-C2D0-4A3B-B037-5E00AB79A7A2}">
      <formula1>"SIZE-1,SIZE-A,SIZE-128"</formula1>
    </dataValidation>
  </dataValidations>
  <printOptions horizontalCentered="1"/>
  <pageMargins left="0.15" right="0.15" top="0.75" bottom="0.6" header="0.5" footer="0.21"/>
  <pageSetup paperSize="9" scale="63" fitToHeight="0"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B9A4F-D391-4174-B4C5-439B9C0942DE}">
  <sheetPr>
    <pageSetUpPr fitToPage="1"/>
  </sheetPr>
  <dimension ref="A1:AK15"/>
  <sheetViews>
    <sheetView showGridLines="0" view="pageBreakPreview" zoomScale="90" zoomScaleNormal="100" zoomScaleSheetLayoutView="90" workbookViewId="0">
      <selection activeCell="F3" sqref="F3"/>
    </sheetView>
  </sheetViews>
  <sheetFormatPr defaultColWidth="8.88671875" defaultRowHeight="15" customHeight="1"/>
  <cols>
    <col min="1" max="1" width="16" style="94" customWidth="1"/>
    <col min="2" max="2" width="9.33203125" style="94" customWidth="1"/>
    <col min="3" max="3" width="10.88671875" style="94" customWidth="1"/>
    <col min="4" max="4" width="8.88671875" style="94" customWidth="1"/>
    <col min="5" max="5" width="12.6640625" style="94" customWidth="1"/>
    <col min="6" max="6" width="18" style="94" customWidth="1"/>
    <col min="7" max="7" width="15" style="94" customWidth="1"/>
    <col min="8" max="9" width="10.5546875" style="134" customWidth="1"/>
    <col min="10" max="10" width="7.44140625" style="134" customWidth="1"/>
    <col min="11" max="11" width="7.5546875" style="134" customWidth="1"/>
    <col min="12" max="12" width="12.5546875" style="94" customWidth="1"/>
    <col min="13" max="13" width="6.6640625" style="94" customWidth="1"/>
    <col min="14" max="14" width="6.88671875" style="94" customWidth="1"/>
    <col min="15" max="16" width="9.109375" style="94" bestFit="1" customWidth="1"/>
    <col min="17" max="18" width="9.33203125" style="94" bestFit="1" customWidth="1"/>
    <col min="19" max="21" width="9.109375" style="94" bestFit="1" customWidth="1"/>
    <col min="22" max="22" width="10.5546875" style="94" bestFit="1" customWidth="1"/>
    <col min="23" max="23" width="11.44140625" style="94" bestFit="1" customWidth="1"/>
    <col min="24" max="24" width="10.44140625" style="94" bestFit="1" customWidth="1"/>
    <col min="25" max="36" width="9.33203125" style="94" bestFit="1" customWidth="1"/>
    <col min="37" max="37" width="9.109375" style="94" bestFit="1" customWidth="1"/>
    <col min="38" max="38" width="9" style="94" bestFit="1" customWidth="1"/>
    <col min="39" max="16384" width="8.88671875" style="94"/>
  </cols>
  <sheetData>
    <row r="1" spans="1:37" s="129" customFormat="1" ht="15.9" customHeight="1">
      <c r="A1" s="149" t="s">
        <v>639</v>
      </c>
      <c r="B1" s="149">
        <f>X1</f>
        <v>3670519</v>
      </c>
      <c r="C1" s="149" t="s">
        <v>640</v>
      </c>
      <c r="D1" s="149">
        <f>Z1</f>
        <v>9477005</v>
      </c>
      <c r="E1" s="149" t="s">
        <v>641</v>
      </c>
      <c r="F1" s="149" t="str">
        <f>AB1</f>
        <v>NLJWFOR-0028</v>
      </c>
      <c r="G1" s="149" t="str">
        <f>AC1</f>
        <v>ETEX-35193</v>
      </c>
      <c r="H1" s="150"/>
      <c r="I1" s="150"/>
      <c r="J1" s="126"/>
      <c r="K1" s="126"/>
      <c r="L1" s="130"/>
      <c r="M1" s="126"/>
      <c r="N1" s="126"/>
      <c r="P1" s="150" t="s">
        <v>642</v>
      </c>
      <c r="Q1" s="150" t="s">
        <v>643</v>
      </c>
      <c r="R1" s="150" t="s">
        <v>644</v>
      </c>
      <c r="S1" s="150" t="s">
        <v>645</v>
      </c>
      <c r="W1" s="149" t="s">
        <v>670</v>
      </c>
      <c r="X1" s="149">
        <v>3670519</v>
      </c>
      <c r="Y1" s="149" t="s">
        <v>640</v>
      </c>
      <c r="Z1" s="149">
        <v>9477005</v>
      </c>
      <c r="AA1" s="149" t="s">
        <v>641</v>
      </c>
      <c r="AB1" s="149" t="s">
        <v>637</v>
      </c>
      <c r="AC1" s="149" t="s">
        <v>636</v>
      </c>
      <c r="AD1" s="151" t="s">
        <v>635</v>
      </c>
      <c r="AE1" s="149">
        <v>10</v>
      </c>
    </row>
    <row r="2" spans="1:37" s="129" customFormat="1" ht="15.9" customHeight="1">
      <c r="A2" s="150"/>
      <c r="B2" s="150"/>
      <c r="C2" s="150"/>
      <c r="D2" s="150"/>
      <c r="E2" s="150"/>
      <c r="F2" s="150"/>
      <c r="G2" s="150"/>
      <c r="H2" s="150"/>
      <c r="I2" s="150"/>
      <c r="J2" s="126"/>
      <c r="K2" s="126"/>
      <c r="L2" s="130"/>
      <c r="M2" s="126"/>
      <c r="N2" s="126"/>
      <c r="P2" s="150"/>
      <c r="Q2" s="150"/>
      <c r="R2" s="150"/>
      <c r="S2" s="150"/>
      <c r="V2" s="152" t="s">
        <v>639</v>
      </c>
      <c r="W2" s="153">
        <f>B1</f>
        <v>3670519</v>
      </c>
    </row>
    <row r="3" spans="1:37" s="129" customFormat="1" ht="15.9" customHeight="1">
      <c r="A3" s="131" t="s">
        <v>3</v>
      </c>
      <c r="B3" s="131" t="s">
        <v>646</v>
      </c>
      <c r="C3" s="131" t="s">
        <v>9</v>
      </c>
      <c r="D3" s="276" t="s">
        <v>647</v>
      </c>
      <c r="E3" s="277"/>
      <c r="F3" s="132" t="s">
        <v>648</v>
      </c>
      <c r="G3" s="132" t="s">
        <v>649</v>
      </c>
      <c r="H3" s="132" t="s">
        <v>650</v>
      </c>
      <c r="I3" s="278" t="s">
        <v>651</v>
      </c>
      <c r="J3" s="279"/>
      <c r="K3" s="280"/>
      <c r="L3" s="130"/>
      <c r="M3" s="126"/>
      <c r="N3" s="126"/>
      <c r="P3" s="150"/>
      <c r="Q3" s="150"/>
      <c r="R3" s="150"/>
      <c r="S3" s="150"/>
      <c r="V3" s="152" t="s">
        <v>652</v>
      </c>
      <c r="W3" s="154">
        <v>4</v>
      </c>
      <c r="X3" s="155">
        <v>6</v>
      </c>
      <c r="Y3" s="154">
        <v>8</v>
      </c>
      <c r="Z3" s="154">
        <v>10</v>
      </c>
      <c r="AA3" s="154">
        <v>12</v>
      </c>
      <c r="AB3" s="154">
        <v>14</v>
      </c>
      <c r="AC3" s="154">
        <v>16</v>
      </c>
      <c r="AD3" s="154">
        <v>18</v>
      </c>
      <c r="AE3" s="154">
        <v>20</v>
      </c>
      <c r="AF3" s="154">
        <v>22</v>
      </c>
      <c r="AG3" s="154">
        <v>24</v>
      </c>
      <c r="AH3" s="154">
        <v>26</v>
      </c>
      <c r="AI3" s="154">
        <v>28</v>
      </c>
      <c r="AJ3" s="152">
        <v>30</v>
      </c>
      <c r="AK3" s="152">
        <v>32</v>
      </c>
    </row>
    <row r="4" spans="1:37" s="129" customFormat="1" ht="15.9" customHeight="1">
      <c r="A4" s="156" t="str">
        <f>AD1</f>
        <v>WHITE</v>
      </c>
      <c r="B4" s="149">
        <f>AE1</f>
        <v>10</v>
      </c>
      <c r="C4" s="133">
        <v>14</v>
      </c>
      <c r="D4" s="141">
        <v>1</v>
      </c>
      <c r="E4" s="141">
        <f>F4</f>
        <v>1</v>
      </c>
      <c r="F4" s="167">
        <v>1</v>
      </c>
      <c r="G4" s="133">
        <v>70</v>
      </c>
      <c r="H4" s="133">
        <f>F4*G4</f>
        <v>70</v>
      </c>
      <c r="I4" s="264">
        <v>9477044</v>
      </c>
      <c r="J4" s="265"/>
      <c r="K4" s="266"/>
      <c r="L4" s="130"/>
      <c r="M4" s="134"/>
      <c r="N4" s="134"/>
      <c r="O4" s="134"/>
      <c r="P4" s="157">
        <f>Q4-1.05</f>
        <v>6.55</v>
      </c>
      <c r="Q4" s="157">
        <v>7.6</v>
      </c>
      <c r="R4" s="157">
        <f>P4*F4</f>
        <v>6.55</v>
      </c>
      <c r="S4" s="157">
        <f>Q4*F4</f>
        <v>7.6</v>
      </c>
      <c r="T4" s="131" t="s">
        <v>653</v>
      </c>
      <c r="U4" s="131"/>
      <c r="V4" s="131"/>
      <c r="W4" s="158"/>
      <c r="X4" s="159">
        <v>9477037</v>
      </c>
      <c r="Y4" s="159">
        <v>9477041</v>
      </c>
      <c r="Z4" s="159">
        <v>9477039</v>
      </c>
      <c r="AA4" s="159">
        <v>9477042</v>
      </c>
      <c r="AB4" s="159">
        <v>9477044</v>
      </c>
      <c r="AC4" s="159">
        <v>9477045</v>
      </c>
      <c r="AD4" s="159">
        <v>9477038</v>
      </c>
      <c r="AE4" s="159">
        <v>9477040</v>
      </c>
      <c r="AF4" s="159">
        <v>9477043</v>
      </c>
      <c r="AG4" s="153"/>
      <c r="AH4" s="153"/>
      <c r="AI4" s="153"/>
      <c r="AJ4" s="153"/>
      <c r="AK4" s="153"/>
    </row>
    <row r="5" spans="1:37" s="129" customFormat="1" ht="15.9" customHeight="1">
      <c r="A5" s="133" t="s">
        <v>654</v>
      </c>
      <c r="B5" s="133" t="s">
        <v>654</v>
      </c>
      <c r="C5" s="133">
        <v>12</v>
      </c>
      <c r="D5" s="269">
        <f>E4+1</f>
        <v>2</v>
      </c>
      <c r="E5" s="269">
        <f>E4+F5</f>
        <v>2</v>
      </c>
      <c r="F5" s="272">
        <v>1</v>
      </c>
      <c r="G5" s="133">
        <v>58</v>
      </c>
      <c r="H5" s="133">
        <f>F5*G5</f>
        <v>58</v>
      </c>
      <c r="I5" s="264">
        <v>9477042</v>
      </c>
      <c r="J5" s="265"/>
      <c r="K5" s="266"/>
      <c r="L5" s="130"/>
      <c r="M5" s="134"/>
      <c r="N5" s="134"/>
      <c r="O5" s="134"/>
      <c r="P5" s="267">
        <f>Q5-1.05</f>
        <v>9.1499999999999986</v>
      </c>
      <c r="Q5" s="267">
        <v>10.199999999999999</v>
      </c>
      <c r="R5" s="267">
        <f>P5*F5</f>
        <v>9.1499999999999986</v>
      </c>
      <c r="S5" s="275">
        <f>Q5*F5</f>
        <v>10.199999999999999</v>
      </c>
      <c r="T5" s="160" t="s">
        <v>655</v>
      </c>
      <c r="U5" s="131">
        <f>F13-U6</f>
        <v>0</v>
      </c>
      <c r="V5" s="161">
        <f>0.59*0.29*0.33*U5</f>
        <v>0</v>
      </c>
      <c r="W5" s="133" t="s">
        <v>597</v>
      </c>
      <c r="X5" s="131">
        <f>SUM(U5:U9)</f>
        <v>3</v>
      </c>
      <c r="Y5" s="162">
        <f>SUM(V5:V9)</f>
        <v>9.7526999999999989E-2</v>
      </c>
    </row>
    <row r="6" spans="1:37" s="129" customFormat="1" ht="15.9" customHeight="1">
      <c r="A6" s="133" t="s">
        <v>654</v>
      </c>
      <c r="B6" s="133" t="s">
        <v>654</v>
      </c>
      <c r="C6" s="133">
        <v>16</v>
      </c>
      <c r="D6" s="271"/>
      <c r="E6" s="271"/>
      <c r="F6" s="274"/>
      <c r="G6" s="133">
        <v>40</v>
      </c>
      <c r="H6" s="133">
        <f>G6</f>
        <v>40</v>
      </c>
      <c r="I6" s="264">
        <v>9477045</v>
      </c>
      <c r="J6" s="265"/>
      <c r="K6" s="266"/>
      <c r="L6" s="130"/>
      <c r="M6" s="134"/>
      <c r="N6" s="134"/>
      <c r="O6" s="134"/>
      <c r="P6" s="267"/>
      <c r="Q6" s="267"/>
      <c r="R6" s="267"/>
      <c r="S6" s="275"/>
      <c r="T6" s="160" t="s">
        <v>656</v>
      </c>
      <c r="U6" s="131">
        <v>3</v>
      </c>
      <c r="V6" s="163">
        <f>0.59*0.29*0.19*U6</f>
        <v>9.7526999999999989E-2</v>
      </c>
    </row>
    <row r="7" spans="1:37" s="129" customFormat="1" ht="15.9" customHeight="1">
      <c r="A7" s="133" t="s">
        <v>654</v>
      </c>
      <c r="B7" s="133" t="s">
        <v>654</v>
      </c>
      <c r="C7" s="133">
        <v>6</v>
      </c>
      <c r="D7" s="269">
        <v>3</v>
      </c>
      <c r="E7" s="269">
        <v>3</v>
      </c>
      <c r="F7" s="272">
        <v>1</v>
      </c>
      <c r="G7" s="133">
        <v>5</v>
      </c>
      <c r="H7" s="133">
        <f>F7*G7</f>
        <v>5</v>
      </c>
      <c r="I7" s="264">
        <v>9477037</v>
      </c>
      <c r="J7" s="265"/>
      <c r="K7" s="266"/>
      <c r="L7" s="130"/>
      <c r="M7" s="134"/>
      <c r="N7" s="134"/>
      <c r="O7" s="134"/>
      <c r="P7" s="267">
        <f>Q7-1.05</f>
        <v>8.5499999999999989</v>
      </c>
      <c r="Q7" s="267">
        <v>9.6</v>
      </c>
      <c r="R7" s="267">
        <f>P7*F7</f>
        <v>8.5499999999999989</v>
      </c>
      <c r="S7" s="267">
        <f>Q7*F7</f>
        <v>9.6</v>
      </c>
      <c r="T7" s="160" t="s">
        <v>657</v>
      </c>
      <c r="U7" s="131"/>
      <c r="V7" s="163">
        <f>0.59*0.29*0.23*U7</f>
        <v>0</v>
      </c>
    </row>
    <row r="8" spans="1:37" s="129" customFormat="1" ht="15.9" customHeight="1">
      <c r="A8" s="133" t="s">
        <v>654</v>
      </c>
      <c r="B8" s="133" t="s">
        <v>654</v>
      </c>
      <c r="C8" s="133">
        <v>8</v>
      </c>
      <c r="D8" s="270"/>
      <c r="E8" s="270"/>
      <c r="F8" s="273"/>
      <c r="G8" s="133">
        <v>8</v>
      </c>
      <c r="H8" s="133">
        <f>G8</f>
        <v>8</v>
      </c>
      <c r="I8" s="264">
        <v>9477041</v>
      </c>
      <c r="J8" s="265"/>
      <c r="K8" s="266"/>
      <c r="L8" s="130"/>
      <c r="M8" s="134"/>
      <c r="N8" s="134"/>
      <c r="O8" s="134"/>
      <c r="P8" s="267"/>
      <c r="Q8" s="267"/>
      <c r="R8" s="267"/>
      <c r="S8" s="267"/>
      <c r="T8" s="160" t="s">
        <v>658</v>
      </c>
      <c r="U8" s="131"/>
      <c r="V8" s="163">
        <f>0.59*0.29*0.37*U8</f>
        <v>0</v>
      </c>
    </row>
    <row r="9" spans="1:37" s="129" customFormat="1" ht="15.9" customHeight="1">
      <c r="A9" s="133" t="s">
        <v>654</v>
      </c>
      <c r="B9" s="133" t="s">
        <v>654</v>
      </c>
      <c r="C9" s="133">
        <v>10</v>
      </c>
      <c r="D9" s="270"/>
      <c r="E9" s="270"/>
      <c r="F9" s="273"/>
      <c r="G9" s="133">
        <v>20</v>
      </c>
      <c r="H9" s="133">
        <f>G9</f>
        <v>20</v>
      </c>
      <c r="I9" s="264">
        <v>9477039</v>
      </c>
      <c r="J9" s="265"/>
      <c r="K9" s="266"/>
      <c r="L9" s="130"/>
      <c r="M9" s="134"/>
      <c r="N9" s="134"/>
      <c r="O9" s="134"/>
      <c r="P9" s="267"/>
      <c r="Q9" s="267"/>
      <c r="R9" s="267"/>
      <c r="S9" s="267"/>
      <c r="T9" s="160" t="s">
        <v>659</v>
      </c>
      <c r="U9" s="131"/>
      <c r="V9" s="163">
        <f>0.59*0.29*0.29*U9</f>
        <v>0</v>
      </c>
    </row>
    <row r="10" spans="1:37" s="129" customFormat="1" ht="15.9" customHeight="1">
      <c r="A10" s="133" t="s">
        <v>654</v>
      </c>
      <c r="B10" s="133" t="s">
        <v>654</v>
      </c>
      <c r="C10" s="133">
        <v>18</v>
      </c>
      <c r="D10" s="270"/>
      <c r="E10" s="270"/>
      <c r="F10" s="273"/>
      <c r="G10" s="133">
        <v>35</v>
      </c>
      <c r="H10" s="133">
        <f>G10</f>
        <v>35</v>
      </c>
      <c r="I10" s="264">
        <v>9477038</v>
      </c>
      <c r="J10" s="265"/>
      <c r="K10" s="266"/>
      <c r="L10" s="130"/>
      <c r="M10" s="134"/>
      <c r="N10" s="126"/>
      <c r="O10" s="134"/>
      <c r="P10" s="267"/>
      <c r="Q10" s="267"/>
      <c r="R10" s="267"/>
      <c r="S10" s="267"/>
    </row>
    <row r="11" spans="1:37" s="129" customFormat="1" ht="15.9" customHeight="1">
      <c r="A11" s="133" t="s">
        <v>654</v>
      </c>
      <c r="B11" s="133" t="s">
        <v>654</v>
      </c>
      <c r="C11" s="133">
        <v>20</v>
      </c>
      <c r="D11" s="270"/>
      <c r="E11" s="270"/>
      <c r="F11" s="273"/>
      <c r="G11" s="133">
        <v>10</v>
      </c>
      <c r="H11" s="133">
        <f>G11</f>
        <v>10</v>
      </c>
      <c r="I11" s="264">
        <v>9477040</v>
      </c>
      <c r="J11" s="265"/>
      <c r="K11" s="266"/>
      <c r="L11" s="130"/>
      <c r="M11" s="134"/>
      <c r="N11" s="126"/>
      <c r="O11" s="134"/>
      <c r="P11" s="267"/>
      <c r="Q11" s="267"/>
      <c r="R11" s="267"/>
      <c r="S11" s="267"/>
      <c r="T11" s="164"/>
      <c r="U11" s="126"/>
      <c r="V11" s="127"/>
    </row>
    <row r="12" spans="1:37" s="129" customFormat="1" ht="15.9" customHeight="1">
      <c r="A12" s="133" t="s">
        <v>654</v>
      </c>
      <c r="B12" s="133" t="s">
        <v>654</v>
      </c>
      <c r="C12" s="133">
        <v>22</v>
      </c>
      <c r="D12" s="271"/>
      <c r="E12" s="271"/>
      <c r="F12" s="274"/>
      <c r="G12" s="133">
        <v>5</v>
      </c>
      <c r="H12" s="133">
        <f>G12</f>
        <v>5</v>
      </c>
      <c r="I12" s="264">
        <v>9477043</v>
      </c>
      <c r="J12" s="265"/>
      <c r="K12" s="266"/>
      <c r="L12" s="130"/>
      <c r="M12" s="134"/>
      <c r="N12" s="126"/>
      <c r="O12" s="134"/>
      <c r="P12" s="267"/>
      <c r="Q12" s="267"/>
      <c r="R12" s="268"/>
      <c r="S12" s="268"/>
      <c r="T12" s="164"/>
      <c r="U12" s="126"/>
      <c r="V12" s="127"/>
    </row>
    <row r="13" spans="1:37" s="129" customFormat="1" ht="15.9" customHeight="1">
      <c r="A13" s="131" t="s">
        <v>660</v>
      </c>
      <c r="B13" s="131"/>
      <c r="C13" s="131" t="s">
        <v>661</v>
      </c>
      <c r="D13" s="131"/>
      <c r="E13" s="131"/>
      <c r="F13" s="131">
        <f>SUM(F4:F12)</f>
        <v>3</v>
      </c>
      <c r="G13" s="133"/>
      <c r="H13" s="131">
        <f>SUM(H4:H12)</f>
        <v>251</v>
      </c>
      <c r="I13" s="264" t="s">
        <v>662</v>
      </c>
      <c r="J13" s="265"/>
      <c r="K13" s="266"/>
      <c r="L13" s="130"/>
      <c r="M13" s="126"/>
      <c r="N13" s="126"/>
      <c r="P13" s="165"/>
      <c r="Q13" s="165"/>
      <c r="R13" s="166">
        <f>SUM(R4:R12)</f>
        <v>24.25</v>
      </c>
      <c r="S13" s="166">
        <f>SUM(S4:S12)</f>
        <v>27.4</v>
      </c>
    </row>
    <row r="14" spans="1:37" s="129" customFormat="1" ht="15.9" customHeight="1">
      <c r="A14" s="126"/>
      <c r="B14" s="135" t="s">
        <v>663</v>
      </c>
      <c r="C14" s="127">
        <f>R13</f>
        <v>24.25</v>
      </c>
      <c r="D14" s="128" t="s">
        <v>19</v>
      </c>
      <c r="E14" s="128"/>
      <c r="F14" s="135" t="s">
        <v>664</v>
      </c>
      <c r="G14" s="127">
        <f>S13</f>
        <v>27.4</v>
      </c>
      <c r="H14" s="128" t="s">
        <v>19</v>
      </c>
      <c r="I14" s="136" t="s">
        <v>619</v>
      </c>
      <c r="J14" s="137">
        <f>Y5</f>
        <v>9.7526999999999989E-2</v>
      </c>
      <c r="K14" s="138"/>
      <c r="L14" s="130"/>
      <c r="M14" s="126"/>
      <c r="N14" s="126"/>
      <c r="P14" s="139"/>
      <c r="Q14" s="139"/>
      <c r="R14" s="139"/>
      <c r="S14" s="139"/>
      <c r="T14" s="140"/>
      <c r="U14" s="140"/>
      <c r="V14" s="140"/>
      <c r="W14" s="140" t="s">
        <v>665</v>
      </c>
      <c r="X14" s="140"/>
    </row>
    <row r="15" spans="1:37" ht="12.15" customHeight="1">
      <c r="A15" s="148"/>
      <c r="C15" s="143"/>
      <c r="D15" s="143"/>
      <c r="E15" s="144"/>
      <c r="F15" s="144"/>
      <c r="H15" s="94"/>
      <c r="I15" s="94"/>
      <c r="J15" s="94"/>
      <c r="K15" s="94"/>
    </row>
  </sheetData>
  <mergeCells count="26">
    <mergeCell ref="D3:E3"/>
    <mergeCell ref="I3:K3"/>
    <mergeCell ref="I4:K4"/>
    <mergeCell ref="D5:D6"/>
    <mergeCell ref="E5:E6"/>
    <mergeCell ref="F5:F6"/>
    <mergeCell ref="I5:K5"/>
    <mergeCell ref="D7:D12"/>
    <mergeCell ref="E7:E12"/>
    <mergeCell ref="F7:F12"/>
    <mergeCell ref="I7:K7"/>
    <mergeCell ref="P7:P12"/>
    <mergeCell ref="P5:P6"/>
    <mergeCell ref="Q5:Q6"/>
    <mergeCell ref="R5:R6"/>
    <mergeCell ref="S5:S6"/>
    <mergeCell ref="I6:K6"/>
    <mergeCell ref="I13:K13"/>
    <mergeCell ref="Q7:Q12"/>
    <mergeCell ref="R7:R12"/>
    <mergeCell ref="S7:S12"/>
    <mergeCell ref="I8:K8"/>
    <mergeCell ref="I9:K9"/>
    <mergeCell ref="I10:K10"/>
    <mergeCell ref="I11:K11"/>
    <mergeCell ref="I12:K12"/>
  </mergeCells>
  <dataValidations count="1">
    <dataValidation type="list" allowBlank="1" showInputMessage="1" showErrorMessage="1" sqref="Y5 V3:V4" xr:uid="{72CE9492-DF49-4E33-8859-CF0AEDA9C421}">
      <formula1>"SIZE-1,SIZE-A,SIZE-128"</formula1>
    </dataValidation>
  </dataValidations>
  <printOptions horizontalCentered="1"/>
  <pageMargins left="0.15" right="0.15" top="0.75" bottom="0.6" header="0.5" footer="0.21"/>
  <pageSetup paperSize="9" scale="63" fitToHeight="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712CD-AB21-4FDD-8C62-A62289995D16}">
  <sheetPr>
    <pageSetUpPr fitToPage="1"/>
  </sheetPr>
  <dimension ref="A1:O4"/>
  <sheetViews>
    <sheetView showGridLines="0" view="pageBreakPreview" zoomScaleNormal="150" zoomScaleSheetLayoutView="100" workbookViewId="0">
      <selection activeCell="I2" sqref="I2"/>
    </sheetView>
  </sheetViews>
  <sheetFormatPr defaultColWidth="9.109375" defaultRowHeight="13.2"/>
  <cols>
    <col min="1" max="1" width="14.109375" style="168" customWidth="1"/>
    <col min="2" max="2" width="10.109375" style="168" customWidth="1"/>
    <col min="3" max="3" width="13" style="168" customWidth="1"/>
    <col min="4" max="4" width="16.33203125" style="168" customWidth="1"/>
    <col min="5" max="5" width="11.5546875" style="168" customWidth="1"/>
    <col min="6" max="7" width="11.44140625" style="168" customWidth="1"/>
    <col min="8" max="8" width="9.44140625" style="168" customWidth="1"/>
    <col min="9" max="9" width="12.44140625" style="168" customWidth="1"/>
    <col min="10" max="10" width="8.88671875" style="253" customWidth="1"/>
    <col min="11" max="11" width="8.88671875" style="254" customWidth="1"/>
    <col min="12" max="12" width="9.44140625" style="254" customWidth="1"/>
    <col min="13" max="13" width="10" style="168" customWidth="1"/>
    <col min="14" max="14" width="18.5546875" style="255" customWidth="1"/>
    <col min="15" max="15" width="9.33203125" style="168" customWidth="1"/>
    <col min="16" max="16" width="8.109375" style="168" customWidth="1"/>
    <col min="17" max="17" width="2.6640625" style="168" customWidth="1"/>
    <col min="18" max="16384" width="9.109375" style="168"/>
  </cols>
  <sheetData>
    <row r="1" spans="1:15" ht="21" customHeight="1" thickBot="1">
      <c r="A1" s="263" t="s">
        <v>17</v>
      </c>
      <c r="B1" s="263"/>
      <c r="C1" s="263"/>
      <c r="D1" s="263"/>
      <c r="E1" s="263"/>
      <c r="F1" s="263"/>
      <c r="G1" s="263"/>
      <c r="H1" s="263"/>
      <c r="I1" s="263"/>
      <c r="J1" s="263"/>
      <c r="K1" s="263"/>
      <c r="L1" s="263"/>
      <c r="M1" s="263"/>
      <c r="N1" s="263"/>
    </row>
    <row r="2" spans="1:15" s="219" customFormat="1" ht="51" customHeight="1" thickTop="1" thickBot="1">
      <c r="A2" s="218" t="s">
        <v>598</v>
      </c>
      <c r="B2" s="218" t="s">
        <v>2</v>
      </c>
      <c r="C2" s="218" t="s">
        <v>600</v>
      </c>
      <c r="D2" s="218" t="s">
        <v>599</v>
      </c>
      <c r="E2" s="218" t="s">
        <v>626</v>
      </c>
      <c r="F2" s="218" t="s">
        <v>604</v>
      </c>
      <c r="G2" s="218" t="s">
        <v>3</v>
      </c>
      <c r="H2" s="218" t="s">
        <v>601</v>
      </c>
      <c r="I2" s="218" t="s">
        <v>612</v>
      </c>
      <c r="J2" s="218" t="s">
        <v>602</v>
      </c>
      <c r="K2" s="218" t="s">
        <v>618</v>
      </c>
      <c r="L2" s="218" t="s">
        <v>603</v>
      </c>
      <c r="M2" s="218" t="s">
        <v>605</v>
      </c>
      <c r="N2" s="218" t="s">
        <v>548</v>
      </c>
    </row>
    <row r="3" spans="1:15" s="227" customFormat="1" ht="39" customHeight="1" thickTop="1">
      <c r="A3" s="256" t="s">
        <v>636</v>
      </c>
      <c r="B3" s="256">
        <v>9477005</v>
      </c>
      <c r="C3" s="256" t="s">
        <v>637</v>
      </c>
      <c r="D3" s="256" t="s">
        <v>638</v>
      </c>
      <c r="E3" s="220" t="s">
        <v>668</v>
      </c>
      <c r="F3" s="221">
        <v>61042900</v>
      </c>
      <c r="G3" s="256" t="s">
        <v>634</v>
      </c>
      <c r="H3" s="256">
        <v>1</v>
      </c>
      <c r="I3" s="257">
        <v>3670521</v>
      </c>
      <c r="J3" s="222" t="e">
        <f>'Packing List proposed format B'!#REF!</f>
        <v>#REF!</v>
      </c>
      <c r="K3" s="223"/>
      <c r="L3" s="224" t="e">
        <f>'Packing List proposed format B'!#REF!</f>
        <v>#REF!</v>
      </c>
      <c r="M3" s="225">
        <v>3.04</v>
      </c>
      <c r="N3" s="226" t="e">
        <f>L3*M3</f>
        <v>#REF!</v>
      </c>
      <c r="O3" s="227">
        <v>3.04</v>
      </c>
    </row>
    <row r="4" spans="1:15" s="227" customFormat="1" ht="39" customHeight="1">
      <c r="A4" s="256" t="s">
        <v>636</v>
      </c>
      <c r="B4" s="256">
        <v>9477005</v>
      </c>
      <c r="C4" s="256" t="s">
        <v>637</v>
      </c>
      <c r="D4" s="256" t="s">
        <v>638</v>
      </c>
      <c r="E4" s="220" t="s">
        <v>668</v>
      </c>
      <c r="F4" s="221">
        <v>61042900</v>
      </c>
      <c r="G4" s="256" t="s">
        <v>635</v>
      </c>
      <c r="H4" s="256">
        <v>10</v>
      </c>
      <c r="I4" s="257">
        <v>3670519</v>
      </c>
      <c r="J4" s="222" t="e">
        <f>'Packing List proposed format B'!#REF!</f>
        <v>#REF!</v>
      </c>
      <c r="K4" s="223"/>
      <c r="L4" s="224" t="e">
        <f>'Packing List proposed format B'!#REF!</f>
        <v>#REF!</v>
      </c>
      <c r="M4" s="225">
        <v>3.04</v>
      </c>
      <c r="N4" s="226" t="e">
        <f>L4*M4</f>
        <v>#REF!</v>
      </c>
      <c r="O4" s="227">
        <v>3.04</v>
      </c>
    </row>
  </sheetData>
  <autoFilter ref="A2:P3" xr:uid="{924F938E-45E4-43FE-8F8B-32013AE787CA}"/>
  <mergeCells count="1">
    <mergeCell ref="A1:N1"/>
  </mergeCells>
  <printOptions horizontalCentered="1"/>
  <pageMargins left="0.39370078740157483" right="0.15748031496062992" top="1.1417322834645669" bottom="0.74803149606299213" header="0.51181102362204722" footer="0.19685039370078741"/>
  <pageSetup paperSize="9" scale="6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7082A-939F-49C8-A08B-74A718AC7BE9}">
  <sheetPr>
    <pageSetUpPr fitToPage="1"/>
  </sheetPr>
  <dimension ref="A1:S25"/>
  <sheetViews>
    <sheetView showGridLines="0" tabSelected="1" view="pageBreakPreview" zoomScale="90" zoomScaleNormal="100" zoomScaleSheetLayoutView="90" workbookViewId="0">
      <selection activeCell="T22" sqref="T22"/>
    </sheetView>
  </sheetViews>
  <sheetFormatPr defaultColWidth="8.88671875" defaultRowHeight="15" customHeight="1"/>
  <cols>
    <col min="1" max="1" width="9" style="94" bestFit="1" customWidth="1"/>
    <col min="2" max="2" width="9.109375" style="94" bestFit="1" customWidth="1"/>
    <col min="3" max="3" width="15.6640625" style="94" bestFit="1" customWidth="1"/>
    <col min="4" max="4" width="12.109375" style="94" bestFit="1" customWidth="1"/>
    <col min="5" max="5" width="16" style="94" customWidth="1"/>
    <col min="6" max="6" width="9.33203125" style="94" customWidth="1"/>
    <col min="7" max="7" width="10.88671875" style="94" customWidth="1"/>
    <col min="8" max="8" width="8.88671875" style="94" customWidth="1"/>
    <col min="9" max="9" width="12.6640625" style="94" customWidth="1"/>
    <col min="10" max="10" width="18" style="94" customWidth="1"/>
    <col min="11" max="11" width="15" style="94" customWidth="1"/>
    <col min="12" max="13" width="10.5546875" style="134" customWidth="1"/>
    <col min="14" max="14" width="7.44140625" style="134" customWidth="1"/>
    <col min="15" max="15" width="7.5546875" style="134" customWidth="1"/>
    <col min="16" max="16" width="12.5546875" style="94" customWidth="1"/>
    <col min="17" max="17" width="6.6640625" style="94" customWidth="1"/>
    <col min="18" max="18" width="6.88671875" style="94" customWidth="1"/>
    <col min="19" max="19" width="9.109375" style="94" bestFit="1" customWidth="1"/>
    <col min="20" max="20" width="9" style="94" bestFit="1" customWidth="1"/>
    <col min="21" max="16384" width="8.88671875" style="94"/>
  </cols>
  <sheetData>
    <row r="1" spans="1:19" s="129" customFormat="1" ht="15.9" customHeight="1">
      <c r="A1" s="149" t="s">
        <v>639</v>
      </c>
      <c r="B1" s="149" t="s">
        <v>640</v>
      </c>
      <c r="C1" s="149" t="s">
        <v>641</v>
      </c>
      <c r="D1" s="149" t="s">
        <v>675</v>
      </c>
      <c r="E1" s="131" t="s">
        <v>3</v>
      </c>
      <c r="F1" s="131" t="s">
        <v>646</v>
      </c>
      <c r="G1" s="131" t="s">
        <v>9</v>
      </c>
      <c r="H1" s="276" t="s">
        <v>647</v>
      </c>
      <c r="I1" s="277"/>
      <c r="J1" s="132" t="s">
        <v>648</v>
      </c>
      <c r="K1" s="132" t="s">
        <v>649</v>
      </c>
      <c r="L1" s="132" t="s">
        <v>650</v>
      </c>
      <c r="M1" s="278" t="s">
        <v>651</v>
      </c>
      <c r="N1" s="279"/>
      <c r="O1" s="280"/>
      <c r="P1" s="130"/>
      <c r="Q1" s="126"/>
      <c r="R1" s="126"/>
    </row>
    <row r="2" spans="1:19" s="129" customFormat="1" ht="15.9" customHeight="1">
      <c r="A2" s="262">
        <v>3670521</v>
      </c>
      <c r="B2" s="149">
        <v>9477005</v>
      </c>
      <c r="C2" s="262" t="s">
        <v>637</v>
      </c>
      <c r="D2" s="262" t="s">
        <v>636</v>
      </c>
      <c r="E2" s="156" t="e">
        <f>#REF!</f>
        <v>#REF!</v>
      </c>
      <c r="F2" s="149" t="e">
        <f>#REF!</f>
        <v>#REF!</v>
      </c>
      <c r="G2" s="133">
        <v>14</v>
      </c>
      <c r="H2" s="269">
        <v>1</v>
      </c>
      <c r="I2" s="269">
        <f>J2</f>
        <v>1</v>
      </c>
      <c r="J2" s="272">
        <v>1</v>
      </c>
      <c r="K2" s="133">
        <v>56</v>
      </c>
      <c r="L2" s="133">
        <f>J2*K2</f>
        <v>56</v>
      </c>
      <c r="M2" s="264">
        <v>9477034</v>
      </c>
      <c r="N2" s="265"/>
      <c r="O2" s="266"/>
      <c r="P2" s="130"/>
      <c r="Q2" s="134"/>
      <c r="R2" s="134"/>
      <c r="S2" s="134"/>
    </row>
    <row r="3" spans="1:19" s="129" customFormat="1" ht="15.9" customHeight="1">
      <c r="A3" s="262">
        <v>3670521</v>
      </c>
      <c r="B3" s="149">
        <v>9477005</v>
      </c>
      <c r="C3" s="262" t="s">
        <v>637</v>
      </c>
      <c r="D3" s="262" t="s">
        <v>636</v>
      </c>
      <c r="E3" s="133" t="s">
        <v>654</v>
      </c>
      <c r="F3" s="133" t="s">
        <v>654</v>
      </c>
      <c r="G3" s="133">
        <v>16</v>
      </c>
      <c r="H3" s="270"/>
      <c r="I3" s="270"/>
      <c r="J3" s="273"/>
      <c r="K3" s="133">
        <v>32</v>
      </c>
      <c r="L3" s="133">
        <f>K3</f>
        <v>32</v>
      </c>
      <c r="M3" s="264">
        <v>9477036</v>
      </c>
      <c r="N3" s="265"/>
      <c r="O3" s="266"/>
      <c r="P3" s="130"/>
      <c r="Q3" s="134"/>
      <c r="R3" s="134"/>
      <c r="S3" s="134"/>
    </row>
    <row r="4" spans="1:19" s="129" customFormat="1" ht="15.9" customHeight="1">
      <c r="A4" s="262">
        <v>3670521</v>
      </c>
      <c r="B4" s="149">
        <v>9477005</v>
      </c>
      <c r="C4" s="262" t="s">
        <v>637</v>
      </c>
      <c r="D4" s="262" t="s">
        <v>636</v>
      </c>
      <c r="E4" s="133" t="s">
        <v>654</v>
      </c>
      <c r="F4" s="133" t="s">
        <v>654</v>
      </c>
      <c r="G4" s="133">
        <v>20</v>
      </c>
      <c r="H4" s="271"/>
      <c r="I4" s="271"/>
      <c r="J4" s="274"/>
      <c r="K4" s="133">
        <v>8</v>
      </c>
      <c r="L4" s="133">
        <f>K4</f>
        <v>8</v>
      </c>
      <c r="M4" s="264">
        <v>9477029</v>
      </c>
      <c r="N4" s="265"/>
      <c r="O4" s="266"/>
      <c r="P4" s="130"/>
      <c r="Q4" s="134"/>
      <c r="R4" s="134"/>
      <c r="S4" s="134"/>
    </row>
    <row r="5" spans="1:19" s="129" customFormat="1" ht="15.9" customHeight="1">
      <c r="A5" s="262">
        <v>3670521</v>
      </c>
      <c r="B5" s="149">
        <v>9477005</v>
      </c>
      <c r="C5" s="262" t="s">
        <v>637</v>
      </c>
      <c r="D5" s="262" t="s">
        <v>636</v>
      </c>
      <c r="E5" s="133" t="s">
        <v>654</v>
      </c>
      <c r="F5" s="133" t="s">
        <v>654</v>
      </c>
      <c r="G5" s="133">
        <v>6</v>
      </c>
      <c r="H5" s="269">
        <v>2</v>
      </c>
      <c r="I5" s="269">
        <v>2</v>
      </c>
      <c r="J5" s="272">
        <v>1</v>
      </c>
      <c r="K5" s="133">
        <v>4</v>
      </c>
      <c r="L5" s="133">
        <f>J5*K5</f>
        <v>4</v>
      </c>
      <c r="M5" s="264">
        <v>9477030</v>
      </c>
      <c r="N5" s="265"/>
      <c r="O5" s="266"/>
      <c r="P5" s="130"/>
      <c r="Q5" s="134"/>
      <c r="R5" s="134"/>
      <c r="S5" s="134"/>
    </row>
    <row r="6" spans="1:19" s="129" customFormat="1" ht="15.9" customHeight="1">
      <c r="A6" s="262">
        <v>3670521</v>
      </c>
      <c r="B6" s="149">
        <v>9477005</v>
      </c>
      <c r="C6" s="262" t="s">
        <v>637</v>
      </c>
      <c r="D6" s="262" t="s">
        <v>636</v>
      </c>
      <c r="E6" s="133" t="s">
        <v>654</v>
      </c>
      <c r="F6" s="133" t="s">
        <v>654</v>
      </c>
      <c r="G6" s="133">
        <v>8</v>
      </c>
      <c r="H6" s="270"/>
      <c r="I6" s="270"/>
      <c r="J6" s="273"/>
      <c r="K6" s="133">
        <v>6</v>
      </c>
      <c r="L6" s="133">
        <f>K6</f>
        <v>6</v>
      </c>
      <c r="M6" s="264">
        <v>9477033</v>
      </c>
      <c r="N6" s="265"/>
      <c r="O6" s="266"/>
      <c r="P6" s="130"/>
      <c r="Q6" s="134"/>
      <c r="R6" s="134"/>
      <c r="S6" s="134"/>
    </row>
    <row r="7" spans="1:19" s="129" customFormat="1" ht="15.9" customHeight="1">
      <c r="A7" s="262">
        <v>3670521</v>
      </c>
      <c r="B7" s="149">
        <v>9477005</v>
      </c>
      <c r="C7" s="262" t="s">
        <v>637</v>
      </c>
      <c r="D7" s="262" t="s">
        <v>636</v>
      </c>
      <c r="E7" s="133" t="s">
        <v>654</v>
      </c>
      <c r="F7" s="133" t="s">
        <v>654</v>
      </c>
      <c r="G7" s="133">
        <v>10</v>
      </c>
      <c r="H7" s="270"/>
      <c r="I7" s="270"/>
      <c r="J7" s="273"/>
      <c r="K7" s="133">
        <v>16</v>
      </c>
      <c r="L7" s="133">
        <f>K7</f>
        <v>16</v>
      </c>
      <c r="M7" s="264">
        <v>9477028</v>
      </c>
      <c r="N7" s="265"/>
      <c r="O7" s="266"/>
      <c r="P7" s="130"/>
      <c r="Q7" s="134"/>
      <c r="R7" s="134"/>
      <c r="S7" s="134"/>
    </row>
    <row r="8" spans="1:19" s="129" customFormat="1" ht="15.9" customHeight="1">
      <c r="A8" s="262">
        <v>3670521</v>
      </c>
      <c r="B8" s="149">
        <v>9477005</v>
      </c>
      <c r="C8" s="262" t="s">
        <v>637</v>
      </c>
      <c r="D8" s="262" t="s">
        <v>636</v>
      </c>
      <c r="E8" s="133" t="s">
        <v>654</v>
      </c>
      <c r="F8" s="133" t="s">
        <v>654</v>
      </c>
      <c r="G8" s="133">
        <v>12</v>
      </c>
      <c r="H8" s="270"/>
      <c r="I8" s="270"/>
      <c r="J8" s="273"/>
      <c r="K8" s="133">
        <v>46</v>
      </c>
      <c r="L8" s="133">
        <f>K8</f>
        <v>46</v>
      </c>
      <c r="M8" s="264">
        <v>9477031</v>
      </c>
      <c r="N8" s="265"/>
      <c r="O8" s="266"/>
      <c r="P8" s="130"/>
      <c r="Q8" s="134"/>
      <c r="R8" s="126"/>
      <c r="S8" s="134"/>
    </row>
    <row r="9" spans="1:19" s="129" customFormat="1" ht="15.9" customHeight="1">
      <c r="A9" s="262">
        <v>3670521</v>
      </c>
      <c r="B9" s="149">
        <v>9477005</v>
      </c>
      <c r="C9" s="262" t="s">
        <v>637</v>
      </c>
      <c r="D9" s="262" t="s">
        <v>636</v>
      </c>
      <c r="E9" s="133" t="s">
        <v>654</v>
      </c>
      <c r="F9" s="133" t="s">
        <v>654</v>
      </c>
      <c r="G9" s="133">
        <v>18</v>
      </c>
      <c r="H9" s="270"/>
      <c r="I9" s="270"/>
      <c r="J9" s="273"/>
      <c r="K9" s="133">
        <v>28</v>
      </c>
      <c r="L9" s="133">
        <f>K9</f>
        <v>28</v>
      </c>
      <c r="M9" s="264">
        <v>9477027</v>
      </c>
      <c r="N9" s="265"/>
      <c r="O9" s="266"/>
      <c r="P9" s="130"/>
      <c r="Q9" s="134"/>
      <c r="R9" s="126"/>
      <c r="S9" s="134"/>
    </row>
    <row r="10" spans="1:19" s="129" customFormat="1" ht="15.9" customHeight="1">
      <c r="A10" s="262">
        <v>3670521</v>
      </c>
      <c r="B10" s="149">
        <v>9477005</v>
      </c>
      <c r="C10" s="262" t="s">
        <v>637</v>
      </c>
      <c r="D10" s="262" t="s">
        <v>636</v>
      </c>
      <c r="E10" s="133" t="s">
        <v>654</v>
      </c>
      <c r="F10" s="133" t="s">
        <v>654</v>
      </c>
      <c r="G10" s="133">
        <v>22</v>
      </c>
      <c r="H10" s="271"/>
      <c r="I10" s="271"/>
      <c r="J10" s="274"/>
      <c r="K10" s="133">
        <v>4</v>
      </c>
      <c r="L10" s="133">
        <f>K10</f>
        <v>4</v>
      </c>
      <c r="M10" s="264">
        <v>9477032</v>
      </c>
      <c r="N10" s="265"/>
      <c r="O10" s="266"/>
      <c r="P10" s="130"/>
      <c r="Q10" s="134"/>
      <c r="R10" s="126"/>
      <c r="S10" s="134"/>
    </row>
    <row r="11" spans="1:19" s="129" customFormat="1" ht="15.9" customHeight="1">
      <c r="E11" s="126"/>
      <c r="F11" s="135"/>
      <c r="G11" s="127"/>
      <c r="H11" s="128"/>
      <c r="I11" s="128"/>
      <c r="J11" s="135"/>
      <c r="K11" s="127"/>
      <c r="L11" s="128"/>
      <c r="M11" s="136"/>
      <c r="N11" s="137"/>
      <c r="O11" s="138"/>
      <c r="P11" s="130"/>
      <c r="Q11" s="126"/>
      <c r="R11" s="126"/>
    </row>
    <row r="12" spans="1:19" s="129" customFormat="1" ht="15.9" customHeight="1">
      <c r="E12" s="125"/>
      <c r="F12" s="126"/>
      <c r="G12" s="127"/>
      <c r="H12" s="128"/>
      <c r="I12" s="126"/>
      <c r="J12" s="126"/>
      <c r="K12" s="126"/>
      <c r="L12" s="127"/>
      <c r="M12" s="127"/>
      <c r="N12" s="127"/>
      <c r="O12" s="127"/>
      <c r="P12" s="126"/>
    </row>
    <row r="13" spans="1:19" s="129" customFormat="1" ht="15.9" customHeight="1">
      <c r="E13" s="125"/>
      <c r="F13" s="126"/>
      <c r="G13" s="127"/>
      <c r="H13" s="128"/>
      <c r="I13" s="126"/>
      <c r="J13" s="126"/>
      <c r="K13" s="126"/>
      <c r="L13" s="127"/>
      <c r="M13" s="127"/>
      <c r="N13" s="127"/>
      <c r="O13" s="127"/>
      <c r="P13" s="126"/>
    </row>
    <row r="14" spans="1:19" s="129" customFormat="1" ht="15.9" customHeight="1">
      <c r="E14" s="150"/>
      <c r="F14" s="150"/>
      <c r="G14" s="150"/>
      <c r="H14" s="150"/>
      <c r="I14" s="150"/>
      <c r="J14" s="150"/>
      <c r="K14" s="150"/>
      <c r="L14" s="150"/>
      <c r="M14" s="150"/>
      <c r="N14" s="126"/>
      <c r="O14" s="126"/>
      <c r="P14" s="130"/>
      <c r="Q14" s="126"/>
      <c r="R14" s="126"/>
    </row>
    <row r="15" spans="1:19" s="129" customFormat="1" ht="15.9" customHeight="1">
      <c r="A15" s="149" t="s">
        <v>639</v>
      </c>
      <c r="B15" s="149" t="s">
        <v>640</v>
      </c>
      <c r="C15" s="149" t="s">
        <v>641</v>
      </c>
      <c r="D15" s="149" t="s">
        <v>675</v>
      </c>
      <c r="E15" s="131" t="s">
        <v>3</v>
      </c>
      <c r="F15" s="131" t="s">
        <v>646</v>
      </c>
      <c r="G15" s="131" t="s">
        <v>9</v>
      </c>
      <c r="H15" s="276" t="s">
        <v>647</v>
      </c>
      <c r="I15" s="277"/>
      <c r="J15" s="132" t="s">
        <v>648</v>
      </c>
      <c r="K15" s="132" t="s">
        <v>649</v>
      </c>
      <c r="L15" s="132" t="s">
        <v>650</v>
      </c>
      <c r="M15" s="278" t="s">
        <v>651</v>
      </c>
      <c r="N15" s="279"/>
      <c r="O15" s="280"/>
      <c r="P15" s="130"/>
      <c r="Q15" s="126"/>
      <c r="R15" s="126"/>
    </row>
    <row r="16" spans="1:19" s="129" customFormat="1" ht="15.9" customHeight="1">
      <c r="A16" s="262">
        <v>3670519</v>
      </c>
      <c r="B16" s="149">
        <v>9477005</v>
      </c>
      <c r="C16" s="262" t="s">
        <v>637</v>
      </c>
      <c r="D16" s="262" t="s">
        <v>636</v>
      </c>
      <c r="E16" s="156" t="e">
        <f>#REF!</f>
        <v>#REF!</v>
      </c>
      <c r="F16" s="149" t="e">
        <f>#REF!</f>
        <v>#REF!</v>
      </c>
      <c r="G16" s="133">
        <v>14</v>
      </c>
      <c r="H16" s="141">
        <v>1</v>
      </c>
      <c r="I16" s="141">
        <f>J16</f>
        <v>1</v>
      </c>
      <c r="J16" s="167">
        <v>1</v>
      </c>
      <c r="K16" s="133">
        <v>70</v>
      </c>
      <c r="L16" s="133">
        <f>J16*K16</f>
        <v>70</v>
      </c>
      <c r="M16" s="264">
        <v>9477044</v>
      </c>
      <c r="N16" s="265"/>
      <c r="O16" s="266"/>
      <c r="P16" s="130"/>
      <c r="Q16" s="134"/>
      <c r="R16" s="134"/>
      <c r="S16" s="134"/>
    </row>
    <row r="17" spans="1:19" s="129" customFormat="1" ht="15.9" customHeight="1">
      <c r="A17" s="262">
        <v>3670519</v>
      </c>
      <c r="B17" s="149">
        <v>9477005</v>
      </c>
      <c r="C17" s="262" t="s">
        <v>637</v>
      </c>
      <c r="D17" s="262" t="s">
        <v>636</v>
      </c>
      <c r="E17" s="133" t="s">
        <v>654</v>
      </c>
      <c r="F17" s="133" t="s">
        <v>654</v>
      </c>
      <c r="G17" s="133">
        <v>12</v>
      </c>
      <c r="H17" s="269">
        <f>I16+1</f>
        <v>2</v>
      </c>
      <c r="I17" s="269">
        <f>I16+J17</f>
        <v>2</v>
      </c>
      <c r="J17" s="272">
        <v>1</v>
      </c>
      <c r="K17" s="133">
        <v>58</v>
      </c>
      <c r="L17" s="133">
        <f>J17*K17</f>
        <v>58</v>
      </c>
      <c r="M17" s="264">
        <v>9477042</v>
      </c>
      <c r="N17" s="265"/>
      <c r="O17" s="266"/>
      <c r="P17" s="130"/>
      <c r="Q17" s="134"/>
      <c r="R17" s="134"/>
      <c r="S17" s="134"/>
    </row>
    <row r="18" spans="1:19" s="129" customFormat="1" ht="15.9" customHeight="1">
      <c r="A18" s="262">
        <v>3670519</v>
      </c>
      <c r="B18" s="149">
        <v>9477005</v>
      </c>
      <c r="C18" s="262" t="s">
        <v>637</v>
      </c>
      <c r="D18" s="262" t="s">
        <v>636</v>
      </c>
      <c r="E18" s="133" t="s">
        <v>654</v>
      </c>
      <c r="F18" s="133" t="s">
        <v>654</v>
      </c>
      <c r="G18" s="133">
        <v>16</v>
      </c>
      <c r="H18" s="271"/>
      <c r="I18" s="271"/>
      <c r="J18" s="274"/>
      <c r="K18" s="133">
        <v>40</v>
      </c>
      <c r="L18" s="133">
        <f>K18</f>
        <v>40</v>
      </c>
      <c r="M18" s="264">
        <v>9477045</v>
      </c>
      <c r="N18" s="265"/>
      <c r="O18" s="266"/>
      <c r="P18" s="130"/>
      <c r="Q18" s="134"/>
      <c r="R18" s="134"/>
      <c r="S18" s="134"/>
    </row>
    <row r="19" spans="1:19" s="129" customFormat="1" ht="15.9" customHeight="1">
      <c r="A19" s="262">
        <v>3670519</v>
      </c>
      <c r="B19" s="149">
        <v>9477005</v>
      </c>
      <c r="C19" s="262" t="s">
        <v>637</v>
      </c>
      <c r="D19" s="262" t="s">
        <v>636</v>
      </c>
      <c r="E19" s="133" t="s">
        <v>654</v>
      </c>
      <c r="F19" s="133" t="s">
        <v>654</v>
      </c>
      <c r="G19" s="133">
        <v>6</v>
      </c>
      <c r="H19" s="269">
        <v>3</v>
      </c>
      <c r="I19" s="269">
        <v>3</v>
      </c>
      <c r="J19" s="272">
        <v>1</v>
      </c>
      <c r="K19" s="133">
        <v>5</v>
      </c>
      <c r="L19" s="133">
        <f>J19*K19</f>
        <v>5</v>
      </c>
      <c r="M19" s="264">
        <v>9477037</v>
      </c>
      <c r="N19" s="265"/>
      <c r="O19" s="266"/>
      <c r="P19" s="130"/>
      <c r="Q19" s="134"/>
      <c r="R19" s="134"/>
      <c r="S19" s="134"/>
    </row>
    <row r="20" spans="1:19" s="129" customFormat="1" ht="15.9" customHeight="1">
      <c r="A20" s="262">
        <v>3670519</v>
      </c>
      <c r="B20" s="149">
        <v>9477005</v>
      </c>
      <c r="C20" s="262" t="s">
        <v>637</v>
      </c>
      <c r="D20" s="262" t="s">
        <v>636</v>
      </c>
      <c r="E20" s="133" t="s">
        <v>654</v>
      </c>
      <c r="F20" s="133" t="s">
        <v>654</v>
      </c>
      <c r="G20" s="133">
        <v>8</v>
      </c>
      <c r="H20" s="270"/>
      <c r="I20" s="270"/>
      <c r="J20" s="273"/>
      <c r="K20" s="133">
        <v>8</v>
      </c>
      <c r="L20" s="133">
        <f>K20</f>
        <v>8</v>
      </c>
      <c r="M20" s="264">
        <v>9477041</v>
      </c>
      <c r="N20" s="265"/>
      <c r="O20" s="266"/>
      <c r="P20" s="130"/>
      <c r="Q20" s="134"/>
      <c r="R20" s="134"/>
      <c r="S20" s="134"/>
    </row>
    <row r="21" spans="1:19" s="129" customFormat="1" ht="15.9" customHeight="1">
      <c r="A21" s="262">
        <v>3670519</v>
      </c>
      <c r="B21" s="149">
        <v>9477005</v>
      </c>
      <c r="C21" s="262" t="s">
        <v>637</v>
      </c>
      <c r="D21" s="262" t="s">
        <v>636</v>
      </c>
      <c r="E21" s="133" t="s">
        <v>654</v>
      </c>
      <c r="F21" s="133" t="s">
        <v>654</v>
      </c>
      <c r="G21" s="133">
        <v>10</v>
      </c>
      <c r="H21" s="270"/>
      <c r="I21" s="270"/>
      <c r="J21" s="273"/>
      <c r="K21" s="133">
        <v>20</v>
      </c>
      <c r="L21" s="133">
        <f>K21</f>
        <v>20</v>
      </c>
      <c r="M21" s="264">
        <v>9477039</v>
      </c>
      <c r="N21" s="265"/>
      <c r="O21" s="266"/>
      <c r="P21" s="130"/>
      <c r="Q21" s="134"/>
      <c r="R21" s="134"/>
      <c r="S21" s="134"/>
    </row>
    <row r="22" spans="1:19" s="129" customFormat="1" ht="15.9" customHeight="1">
      <c r="A22" s="262">
        <v>3670519</v>
      </c>
      <c r="B22" s="149">
        <v>9477005</v>
      </c>
      <c r="C22" s="262" t="s">
        <v>637</v>
      </c>
      <c r="D22" s="262" t="s">
        <v>636</v>
      </c>
      <c r="E22" s="133" t="s">
        <v>654</v>
      </c>
      <c r="F22" s="133" t="s">
        <v>654</v>
      </c>
      <c r="G22" s="133">
        <v>18</v>
      </c>
      <c r="H22" s="270"/>
      <c r="I22" s="270"/>
      <c r="J22" s="273"/>
      <c r="K22" s="133">
        <v>35</v>
      </c>
      <c r="L22" s="133">
        <f>K22</f>
        <v>35</v>
      </c>
      <c r="M22" s="264">
        <v>9477038</v>
      </c>
      <c r="N22" s="265"/>
      <c r="O22" s="266"/>
      <c r="P22" s="130"/>
      <c r="Q22" s="134"/>
      <c r="R22" s="126"/>
      <c r="S22" s="134"/>
    </row>
    <row r="23" spans="1:19" s="129" customFormat="1" ht="15.9" customHeight="1">
      <c r="A23" s="262">
        <v>3670519</v>
      </c>
      <c r="B23" s="149">
        <v>9477005</v>
      </c>
      <c r="C23" s="262" t="s">
        <v>637</v>
      </c>
      <c r="D23" s="262" t="s">
        <v>636</v>
      </c>
      <c r="E23" s="133" t="s">
        <v>654</v>
      </c>
      <c r="F23" s="133" t="s">
        <v>654</v>
      </c>
      <c r="G23" s="133">
        <v>20</v>
      </c>
      <c r="H23" s="270"/>
      <c r="I23" s="270"/>
      <c r="J23" s="273"/>
      <c r="K23" s="133">
        <v>10</v>
      </c>
      <c r="L23" s="133">
        <f>K23</f>
        <v>10</v>
      </c>
      <c r="M23" s="264">
        <v>9477040</v>
      </c>
      <c r="N23" s="265"/>
      <c r="O23" s="266"/>
      <c r="P23" s="130"/>
      <c r="Q23" s="134"/>
      <c r="R23" s="126"/>
      <c r="S23" s="134"/>
    </row>
    <row r="24" spans="1:19" s="129" customFormat="1" ht="15.9" customHeight="1">
      <c r="A24" s="262">
        <v>3670519</v>
      </c>
      <c r="B24" s="149">
        <v>9477005</v>
      </c>
      <c r="C24" s="262" t="s">
        <v>637</v>
      </c>
      <c r="D24" s="262" t="s">
        <v>636</v>
      </c>
      <c r="E24" s="133" t="s">
        <v>654</v>
      </c>
      <c r="F24" s="133" t="s">
        <v>654</v>
      </c>
      <c r="G24" s="133">
        <v>22</v>
      </c>
      <c r="H24" s="271"/>
      <c r="I24" s="271"/>
      <c r="J24" s="274"/>
      <c r="K24" s="133">
        <v>5</v>
      </c>
      <c r="L24" s="133">
        <f>K24</f>
        <v>5</v>
      </c>
      <c r="M24" s="264">
        <v>9477043</v>
      </c>
      <c r="N24" s="265"/>
      <c r="O24" s="266"/>
      <c r="P24" s="130"/>
      <c r="Q24" s="134"/>
      <c r="R24" s="126"/>
      <c r="S24" s="134"/>
    </row>
    <row r="25" spans="1:19" ht="12.15" customHeight="1">
      <c r="E25" s="148"/>
      <c r="G25" s="143"/>
      <c r="H25" s="143"/>
      <c r="I25" s="144"/>
      <c r="J25" s="144"/>
      <c r="L25" s="94"/>
      <c r="M25" s="94"/>
      <c r="N25" s="94"/>
      <c r="O25" s="94"/>
    </row>
  </sheetData>
  <mergeCells count="34">
    <mergeCell ref="H1:I1"/>
    <mergeCell ref="M1:O1"/>
    <mergeCell ref="H2:H4"/>
    <mergeCell ref="I2:I4"/>
    <mergeCell ref="J2:J4"/>
    <mergeCell ref="M2:O2"/>
    <mergeCell ref="M3:O3"/>
    <mergeCell ref="M4:O4"/>
    <mergeCell ref="H5:H10"/>
    <mergeCell ref="I5:I10"/>
    <mergeCell ref="J5:J10"/>
    <mergeCell ref="M5:O5"/>
    <mergeCell ref="M6:O6"/>
    <mergeCell ref="M7:O7"/>
    <mergeCell ref="M8:O8"/>
    <mergeCell ref="M9:O9"/>
    <mergeCell ref="M10:O10"/>
    <mergeCell ref="H15:I15"/>
    <mergeCell ref="M15:O15"/>
    <mergeCell ref="M16:O16"/>
    <mergeCell ref="H17:H18"/>
    <mergeCell ref="I17:I18"/>
    <mergeCell ref="J17:J18"/>
    <mergeCell ref="M17:O17"/>
    <mergeCell ref="H19:H24"/>
    <mergeCell ref="I19:I24"/>
    <mergeCell ref="J19:J24"/>
    <mergeCell ref="M19:O19"/>
    <mergeCell ref="M18:O18"/>
    <mergeCell ref="M20:O20"/>
    <mergeCell ref="M21:O21"/>
    <mergeCell ref="M22:O22"/>
    <mergeCell ref="M23:O23"/>
    <mergeCell ref="M24:O24"/>
  </mergeCells>
  <printOptions horizontalCentered="1"/>
  <pageMargins left="0.15" right="0.15" top="0.75" bottom="0.6" header="0.5" footer="0.21"/>
  <pageSetup paperSize="9" scale="59" fitToHeight="0"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0B960-2FE5-46AF-8FF5-4C0E7E65B5C6}">
  <sheetPr>
    <pageSetUpPr fitToPage="1"/>
  </sheetPr>
  <dimension ref="A1:S51"/>
  <sheetViews>
    <sheetView showGridLines="0" view="pageBreakPreview" topLeftCell="A13" zoomScaleNormal="150" zoomScaleSheetLayoutView="100" workbookViewId="0">
      <selection activeCell="A2" sqref="A1:A1048576"/>
    </sheetView>
  </sheetViews>
  <sheetFormatPr defaultColWidth="9.109375" defaultRowHeight="13.2"/>
  <cols>
    <col min="1" max="1" width="14.109375" style="168" customWidth="1"/>
    <col min="2" max="2" width="10.109375" style="168" customWidth="1"/>
    <col min="3" max="3" width="13" style="168" customWidth="1"/>
    <col min="4" max="4" width="16.33203125" style="168" customWidth="1"/>
    <col min="5" max="5" width="11.5546875" style="168" customWidth="1"/>
    <col min="6" max="7" width="11.44140625" style="168" customWidth="1"/>
    <col min="8" max="8" width="9.44140625" style="168" customWidth="1"/>
    <col min="9" max="9" width="12.44140625" style="168" customWidth="1"/>
    <col min="10" max="10" width="8.88671875" style="253" customWidth="1"/>
    <col min="11" max="11" width="8.88671875" style="254" customWidth="1"/>
    <col min="12" max="12" width="9.44140625" style="254" customWidth="1"/>
    <col min="13" max="13" width="10" style="168" customWidth="1"/>
    <col min="14" max="14" width="18.5546875" style="255" customWidth="1"/>
    <col min="15" max="15" width="9.33203125" style="168" customWidth="1"/>
    <col min="16" max="16" width="8.109375" style="168" customWidth="1"/>
    <col min="17" max="17" width="2.6640625" style="168" customWidth="1"/>
    <col min="18" max="16384" width="9.109375" style="168"/>
  </cols>
  <sheetData>
    <row r="1" spans="1:14" ht="21" customHeight="1">
      <c r="A1" s="263" t="s">
        <v>17</v>
      </c>
      <c r="B1" s="263"/>
      <c r="C1" s="263"/>
      <c r="D1" s="263"/>
      <c r="E1" s="263"/>
      <c r="F1" s="263"/>
      <c r="G1" s="263"/>
      <c r="H1" s="263"/>
      <c r="I1" s="263"/>
      <c r="J1" s="263"/>
      <c r="K1" s="263"/>
      <c r="L1" s="263"/>
      <c r="M1" s="263"/>
      <c r="N1" s="263"/>
    </row>
    <row r="2" spans="1:14" s="94" customFormat="1" ht="18.75" customHeight="1">
      <c r="A2" s="169" t="s">
        <v>596</v>
      </c>
      <c r="B2" s="260" t="s">
        <v>673</v>
      </c>
      <c r="C2" s="170"/>
      <c r="D2" s="170"/>
      <c r="E2" s="170"/>
      <c r="F2" s="170"/>
      <c r="G2" s="170"/>
      <c r="H2" s="171" t="s">
        <v>669</v>
      </c>
      <c r="I2" s="172"/>
      <c r="J2" s="172"/>
      <c r="K2" s="170"/>
      <c r="L2" s="170"/>
      <c r="M2" s="170"/>
      <c r="N2" s="293" t="s">
        <v>632</v>
      </c>
    </row>
    <row r="3" spans="1:14" s="94" customFormat="1" ht="18.75" customHeight="1">
      <c r="A3" s="173" t="s">
        <v>674</v>
      </c>
      <c r="B3" s="174"/>
      <c r="C3" s="174"/>
      <c r="D3" s="174"/>
      <c r="E3" s="174"/>
      <c r="F3" s="174"/>
      <c r="G3" s="174"/>
      <c r="H3" s="175" t="str">
        <f>A3</f>
        <v>Date: 20/04/2026</v>
      </c>
      <c r="I3" s="174"/>
      <c r="J3" s="174"/>
      <c r="K3" s="174"/>
      <c r="L3" s="174"/>
      <c r="M3" s="174"/>
      <c r="N3" s="293"/>
    </row>
    <row r="4" spans="1:14" s="94" customFormat="1" ht="18.75" customHeight="1">
      <c r="A4" s="176" t="s">
        <v>0</v>
      </c>
      <c r="B4" s="177"/>
      <c r="C4" s="177"/>
      <c r="D4" s="177"/>
      <c r="E4" s="177"/>
      <c r="F4" s="177"/>
      <c r="G4" s="177"/>
      <c r="H4" s="171" t="s">
        <v>666</v>
      </c>
      <c r="I4" s="178"/>
      <c r="J4" s="177"/>
      <c r="K4" s="177"/>
      <c r="L4" s="177"/>
      <c r="M4" s="177"/>
      <c r="N4" s="179"/>
    </row>
    <row r="5" spans="1:14" s="94" customFormat="1" ht="18.75" customHeight="1">
      <c r="A5" s="180" t="s">
        <v>549</v>
      </c>
      <c r="B5" s="177"/>
      <c r="C5" s="177"/>
      <c r="D5" s="177"/>
      <c r="E5" s="177"/>
      <c r="F5" s="177"/>
      <c r="G5" s="177"/>
      <c r="H5" s="173" t="s">
        <v>667</v>
      </c>
      <c r="I5" s="174"/>
      <c r="J5" s="174"/>
      <c r="K5" s="174"/>
      <c r="L5" s="174"/>
      <c r="M5" s="174"/>
      <c r="N5" s="181"/>
    </row>
    <row r="6" spans="1:14" s="94" customFormat="1" ht="18.75" customHeight="1">
      <c r="A6" s="117" t="s">
        <v>550</v>
      </c>
      <c r="H6" s="176" t="s">
        <v>6</v>
      </c>
      <c r="I6" s="182"/>
      <c r="J6" s="183"/>
      <c r="K6" s="184"/>
      <c r="L6" s="184"/>
      <c r="M6" s="177"/>
      <c r="N6" s="185"/>
    </row>
    <row r="7" spans="1:14" s="94" customFormat="1" ht="18.75" customHeight="1">
      <c r="A7" s="117"/>
      <c r="G7" s="261"/>
      <c r="H7" s="180" t="s">
        <v>7</v>
      </c>
      <c r="I7" s="177"/>
      <c r="J7" s="186"/>
      <c r="K7" s="184"/>
      <c r="L7" s="184"/>
      <c r="M7" s="177"/>
      <c r="N7" s="185"/>
    </row>
    <row r="8" spans="1:14" s="94" customFormat="1" ht="16.5" customHeight="1">
      <c r="A8" s="176"/>
      <c r="B8" s="177"/>
      <c r="C8" s="177"/>
      <c r="D8" s="177"/>
      <c r="E8" s="177"/>
      <c r="F8" s="177"/>
      <c r="G8" s="179"/>
      <c r="H8" s="180" t="s">
        <v>8</v>
      </c>
      <c r="I8" s="177"/>
      <c r="J8" s="186"/>
      <c r="K8" s="184"/>
      <c r="L8" s="184"/>
      <c r="M8" s="177"/>
      <c r="N8" s="185"/>
    </row>
    <row r="9" spans="1:14" s="94" customFormat="1" ht="16.5" customHeight="1">
      <c r="A9" s="180"/>
      <c r="B9" s="177"/>
      <c r="C9" s="177"/>
      <c r="D9" s="177"/>
      <c r="E9" s="177"/>
      <c r="F9" s="177"/>
      <c r="G9" s="179"/>
      <c r="H9" s="180" t="s">
        <v>2</v>
      </c>
      <c r="I9" s="177"/>
      <c r="J9" s="186"/>
      <c r="K9" s="184"/>
      <c r="L9" s="184"/>
      <c r="M9" s="177"/>
      <c r="N9" s="185"/>
    </row>
    <row r="10" spans="1:14" s="94" customFormat="1" ht="16.5" customHeight="1">
      <c r="A10" s="176"/>
      <c r="B10" s="177"/>
      <c r="C10" s="177"/>
      <c r="D10" s="177"/>
      <c r="E10" s="177"/>
      <c r="F10" s="177"/>
      <c r="G10" s="179"/>
      <c r="H10" s="180" t="s">
        <v>9</v>
      </c>
      <c r="I10" s="177"/>
      <c r="J10" s="186"/>
      <c r="K10" s="184"/>
      <c r="L10" s="184"/>
      <c r="M10" s="177"/>
      <c r="N10" s="185"/>
    </row>
    <row r="11" spans="1:14" s="94" customFormat="1" ht="16.5" customHeight="1">
      <c r="A11" s="180"/>
      <c r="B11" s="177"/>
      <c r="C11" s="177"/>
      <c r="D11" s="177"/>
      <c r="E11" s="177"/>
      <c r="F11" s="177"/>
      <c r="G11" s="179"/>
      <c r="H11" s="180" t="s">
        <v>3</v>
      </c>
      <c r="I11" s="177"/>
      <c r="J11" s="186"/>
      <c r="K11" s="184"/>
      <c r="L11" s="184"/>
      <c r="M11" s="177"/>
      <c r="N11" s="185"/>
    </row>
    <row r="12" spans="1:14" s="94" customFormat="1" ht="16.5" customHeight="1">
      <c r="A12" s="176"/>
      <c r="B12" s="177"/>
      <c r="C12" s="177"/>
      <c r="D12" s="177"/>
      <c r="E12" s="177"/>
      <c r="F12" s="177"/>
      <c r="G12" s="179"/>
      <c r="H12" s="180" t="s">
        <v>10</v>
      </c>
      <c r="I12" s="177"/>
      <c r="J12" s="186"/>
      <c r="K12" s="184"/>
      <c r="L12" s="184"/>
      <c r="M12" s="177"/>
      <c r="N12" s="185"/>
    </row>
    <row r="13" spans="1:14" s="94" customFormat="1" ht="16.5" customHeight="1">
      <c r="A13" s="180"/>
      <c r="B13" s="177"/>
      <c r="C13" s="177"/>
      <c r="D13" s="177"/>
      <c r="E13" s="177"/>
      <c r="F13" s="177"/>
      <c r="G13" s="179"/>
      <c r="H13" s="180" t="s">
        <v>11</v>
      </c>
      <c r="I13" s="177"/>
      <c r="J13" s="186"/>
      <c r="K13" s="184"/>
      <c r="L13" s="184"/>
      <c r="M13" s="177"/>
      <c r="N13" s="185"/>
    </row>
    <row r="14" spans="1:14" s="94" customFormat="1" ht="16.5" customHeight="1">
      <c r="A14" s="180"/>
      <c r="B14" s="177"/>
      <c r="C14" s="177"/>
      <c r="D14" s="177"/>
      <c r="E14" s="177"/>
      <c r="F14" s="177"/>
      <c r="G14" s="179"/>
      <c r="I14" s="177"/>
      <c r="J14" s="186"/>
      <c r="K14" s="184"/>
      <c r="L14" s="184"/>
      <c r="M14" s="177"/>
      <c r="N14" s="185"/>
    </row>
    <row r="15" spans="1:14" s="94" customFormat="1" ht="16.5" customHeight="1">
      <c r="A15" s="176"/>
      <c r="B15" s="177"/>
      <c r="C15" s="177"/>
      <c r="D15" s="177"/>
      <c r="E15" s="177"/>
      <c r="F15" s="177"/>
      <c r="G15" s="179"/>
      <c r="H15" s="176" t="s">
        <v>12</v>
      </c>
      <c r="I15" s="182"/>
      <c r="J15" s="183"/>
      <c r="K15" s="184"/>
      <c r="L15" s="184"/>
      <c r="M15" s="177"/>
      <c r="N15" s="185"/>
    </row>
    <row r="16" spans="1:14" s="94" customFormat="1" ht="16.5" customHeight="1">
      <c r="A16" s="180"/>
      <c r="B16" s="177"/>
      <c r="C16" s="177"/>
      <c r="D16" s="177"/>
      <c r="E16" s="177"/>
      <c r="F16" s="177"/>
      <c r="G16" s="179"/>
      <c r="H16" s="180" t="s">
        <v>13</v>
      </c>
      <c r="I16" s="177"/>
      <c r="J16" s="186"/>
      <c r="K16" s="184"/>
      <c r="L16" s="184"/>
      <c r="M16" s="177"/>
      <c r="N16" s="185"/>
    </row>
    <row r="17" spans="1:15" s="94" customFormat="1" ht="16.5" customHeight="1">
      <c r="A17" s="180"/>
      <c r="B17" s="177"/>
      <c r="C17" s="177"/>
      <c r="D17" s="177"/>
      <c r="E17" s="177"/>
      <c r="F17" s="177"/>
      <c r="G17" s="179"/>
      <c r="H17" s="180" t="s">
        <v>14</v>
      </c>
      <c r="I17" s="177"/>
      <c r="J17" s="186"/>
      <c r="K17" s="184"/>
      <c r="L17" s="184"/>
      <c r="M17" s="177"/>
      <c r="N17" s="185"/>
    </row>
    <row r="18" spans="1:15" s="94" customFormat="1" ht="16.5" customHeight="1">
      <c r="A18" s="175"/>
      <c r="B18" s="174"/>
      <c r="C18" s="174"/>
      <c r="D18" s="174"/>
      <c r="E18" s="174"/>
      <c r="F18" s="174"/>
      <c r="G18" s="188"/>
      <c r="H18" s="175" t="s">
        <v>15</v>
      </c>
      <c r="I18" s="174"/>
      <c r="J18" s="189"/>
      <c r="K18" s="190"/>
      <c r="L18" s="190"/>
      <c r="M18" s="174"/>
      <c r="N18" s="191"/>
    </row>
    <row r="19" spans="1:15" s="94" customFormat="1" ht="16.5" customHeight="1">
      <c r="A19" s="176" t="s">
        <v>1</v>
      </c>
      <c r="B19" s="170"/>
      <c r="C19" s="170"/>
      <c r="D19" s="170"/>
      <c r="E19" s="170"/>
      <c r="F19" s="170"/>
      <c r="G19" s="187"/>
      <c r="H19" s="180"/>
      <c r="I19" s="177"/>
      <c r="J19" s="186"/>
      <c r="K19" s="184"/>
      <c r="L19" s="184"/>
      <c r="M19" s="177"/>
      <c r="N19" s="185"/>
    </row>
    <row r="20" spans="1:15" s="94" customFormat="1" ht="16.5" customHeight="1">
      <c r="A20" s="192" t="s">
        <v>26</v>
      </c>
      <c r="B20" s="177"/>
      <c r="C20" s="177"/>
      <c r="D20" s="177"/>
      <c r="E20" s="177"/>
      <c r="F20" s="177"/>
      <c r="G20" s="177"/>
      <c r="H20" s="193" t="s">
        <v>23</v>
      </c>
      <c r="I20" s="177"/>
      <c r="J20" s="186"/>
      <c r="K20" s="184"/>
      <c r="L20" s="184"/>
      <c r="M20" s="177"/>
      <c r="N20" s="185"/>
    </row>
    <row r="21" spans="1:15" s="94" customFormat="1" ht="16.5" customHeight="1">
      <c r="A21" s="180" t="s">
        <v>29</v>
      </c>
      <c r="B21" s="177"/>
      <c r="C21" s="177"/>
      <c r="D21" s="177"/>
      <c r="E21" s="177"/>
      <c r="F21" s="177"/>
      <c r="G21" s="177"/>
      <c r="H21" s="194" t="s">
        <v>24</v>
      </c>
      <c r="I21" s="174"/>
      <c r="J21" s="189"/>
      <c r="K21" s="190"/>
      <c r="L21" s="190"/>
      <c r="M21" s="174"/>
      <c r="N21" s="191"/>
    </row>
    <row r="22" spans="1:15" s="94" customFormat="1" ht="16.5" customHeight="1">
      <c r="A22" s="180" t="s">
        <v>30</v>
      </c>
      <c r="B22" s="177"/>
      <c r="C22" s="177"/>
      <c r="D22" s="177"/>
      <c r="E22" s="177"/>
      <c r="F22" s="177"/>
      <c r="G22" s="179"/>
      <c r="H22" s="284" t="s">
        <v>591</v>
      </c>
      <c r="I22" s="285"/>
      <c r="J22" s="285"/>
      <c r="K22" s="285"/>
      <c r="L22" s="285"/>
      <c r="M22" s="285"/>
      <c r="N22" s="286"/>
    </row>
    <row r="23" spans="1:15" s="94" customFormat="1" ht="16.5" customHeight="1">
      <c r="A23" s="192" t="s">
        <v>27</v>
      </c>
      <c r="B23" s="177"/>
      <c r="C23" s="177"/>
      <c r="D23" s="177"/>
      <c r="E23" s="177"/>
      <c r="F23" s="177"/>
      <c r="G23" s="179"/>
      <c r="H23" s="287"/>
      <c r="I23" s="288"/>
      <c r="J23" s="288"/>
      <c r="K23" s="288"/>
      <c r="L23" s="288"/>
      <c r="M23" s="288"/>
      <c r="N23" s="289"/>
    </row>
    <row r="24" spans="1:15" s="94" customFormat="1" ht="16.5" customHeight="1">
      <c r="A24" s="175" t="s">
        <v>28</v>
      </c>
      <c r="B24" s="174"/>
      <c r="C24" s="174"/>
      <c r="D24" s="174"/>
      <c r="E24" s="174"/>
      <c r="F24" s="174"/>
      <c r="G24" s="188"/>
      <c r="H24" s="195" t="s">
        <v>633</v>
      </c>
      <c r="I24" s="172"/>
      <c r="J24" s="196"/>
      <c r="K24" s="197" t="s">
        <v>624</v>
      </c>
      <c r="L24" s="198"/>
      <c r="M24" s="199"/>
      <c r="N24" s="200"/>
    </row>
    <row r="25" spans="1:15" s="94" customFormat="1" ht="16.5" customHeight="1">
      <c r="A25" s="201" t="s">
        <v>552</v>
      </c>
      <c r="B25" s="202" t="s">
        <v>627</v>
      </c>
      <c r="C25" s="202"/>
      <c r="D25" s="202"/>
      <c r="E25" s="202"/>
      <c r="F25" s="202"/>
      <c r="G25" s="203"/>
      <c r="H25" s="204" t="s">
        <v>621</v>
      </c>
      <c r="I25" s="177"/>
      <c r="J25" s="186"/>
      <c r="K25" s="205" t="s">
        <v>592</v>
      </c>
      <c r="L25" s="143"/>
      <c r="M25" s="206"/>
      <c r="N25" s="185"/>
    </row>
    <row r="26" spans="1:15" s="94" customFormat="1" ht="16.5" customHeight="1">
      <c r="A26" s="207" t="s">
        <v>628</v>
      </c>
      <c r="B26" s="208"/>
      <c r="C26" s="208"/>
      <c r="D26" s="208"/>
      <c r="E26" s="208"/>
      <c r="F26" s="208"/>
      <c r="G26" s="209"/>
      <c r="H26" s="204" t="s">
        <v>622</v>
      </c>
      <c r="I26" s="177"/>
      <c r="J26" s="186"/>
      <c r="K26" s="205"/>
      <c r="L26" s="143"/>
      <c r="M26" s="210"/>
      <c r="N26" s="185"/>
    </row>
    <row r="27" spans="1:15" s="94" customFormat="1" ht="13.95" customHeight="1">
      <c r="A27" s="211" t="s">
        <v>629</v>
      </c>
      <c r="B27" s="212"/>
      <c r="C27" s="212"/>
      <c r="D27" s="212"/>
      <c r="E27" s="212"/>
      <c r="F27" s="212"/>
      <c r="G27" s="213"/>
      <c r="H27" s="214" t="s">
        <v>623</v>
      </c>
      <c r="I27" s="177"/>
      <c r="J27" s="186"/>
      <c r="K27" s="215"/>
      <c r="L27" s="216"/>
      <c r="M27" s="217"/>
      <c r="N27" s="185"/>
    </row>
    <row r="28" spans="1:15" s="94" customFormat="1" ht="21" customHeight="1" thickBot="1">
      <c r="A28" s="281" t="s">
        <v>31</v>
      </c>
      <c r="B28" s="282"/>
      <c r="C28" s="282"/>
      <c r="D28" s="282"/>
      <c r="E28" s="282"/>
      <c r="F28" s="282"/>
      <c r="G28" s="282"/>
      <c r="H28" s="282"/>
      <c r="I28" s="282"/>
      <c r="J28" s="282"/>
      <c r="K28" s="282"/>
      <c r="L28" s="282"/>
      <c r="M28" s="282"/>
      <c r="N28" s="283"/>
    </row>
    <row r="29" spans="1:15" s="219" customFormat="1" ht="51" customHeight="1" thickTop="1" thickBot="1">
      <c r="A29" s="218" t="s">
        <v>598</v>
      </c>
      <c r="B29" s="218" t="s">
        <v>2</v>
      </c>
      <c r="C29" s="218" t="s">
        <v>600</v>
      </c>
      <c r="D29" s="218" t="s">
        <v>599</v>
      </c>
      <c r="E29" s="218" t="s">
        <v>626</v>
      </c>
      <c r="F29" s="218" t="s">
        <v>604</v>
      </c>
      <c r="G29" s="218" t="s">
        <v>3</v>
      </c>
      <c r="H29" s="218" t="s">
        <v>601</v>
      </c>
      <c r="I29" s="218" t="s">
        <v>612</v>
      </c>
      <c r="J29" s="218" t="s">
        <v>602</v>
      </c>
      <c r="K29" s="218" t="s">
        <v>618</v>
      </c>
      <c r="L29" s="218" t="s">
        <v>603</v>
      </c>
      <c r="M29" s="218" t="s">
        <v>605</v>
      </c>
      <c r="N29" s="218" t="s">
        <v>548</v>
      </c>
    </row>
    <row r="30" spans="1:15" s="227" customFormat="1" ht="39" customHeight="1" thickTop="1">
      <c r="A30" s="256" t="s">
        <v>636</v>
      </c>
      <c r="B30" s="256">
        <v>9477005</v>
      </c>
      <c r="C30" s="256" t="s">
        <v>637</v>
      </c>
      <c r="D30" s="256" t="s">
        <v>638</v>
      </c>
      <c r="E30" s="220" t="s">
        <v>668</v>
      </c>
      <c r="F30" s="221">
        <v>61042900</v>
      </c>
      <c r="G30" s="256" t="s">
        <v>634</v>
      </c>
      <c r="H30" s="256">
        <v>1</v>
      </c>
      <c r="I30" s="257">
        <v>3670521</v>
      </c>
      <c r="J30" s="222">
        <f>'Packing List'!F40</f>
        <v>2</v>
      </c>
      <c r="K30" s="223"/>
      <c r="L30" s="224">
        <f>'Packing List'!H40</f>
        <v>200</v>
      </c>
      <c r="M30" s="225">
        <v>3.04</v>
      </c>
      <c r="N30" s="226">
        <f>L30*M30</f>
        <v>608</v>
      </c>
      <c r="O30" s="227">
        <v>3.04</v>
      </c>
    </row>
    <row r="31" spans="1:15" s="227" customFormat="1" ht="39" customHeight="1">
      <c r="A31" s="256" t="s">
        <v>636</v>
      </c>
      <c r="B31" s="256">
        <v>9477005</v>
      </c>
      <c r="C31" s="256" t="s">
        <v>637</v>
      </c>
      <c r="D31" s="256" t="s">
        <v>638</v>
      </c>
      <c r="E31" s="220" t="s">
        <v>668</v>
      </c>
      <c r="F31" s="221">
        <v>61042900</v>
      </c>
      <c r="G31" s="256" t="s">
        <v>635</v>
      </c>
      <c r="H31" s="256">
        <v>10</v>
      </c>
      <c r="I31" s="257">
        <v>3670519</v>
      </c>
      <c r="J31" s="222">
        <f>'Packing List'!F56</f>
        <v>3</v>
      </c>
      <c r="K31" s="223"/>
      <c r="L31" s="224">
        <f>'Packing List'!H56</f>
        <v>251</v>
      </c>
      <c r="M31" s="225">
        <v>3.04</v>
      </c>
      <c r="N31" s="226">
        <f>L31*M31</f>
        <v>763.04</v>
      </c>
      <c r="O31" s="227">
        <v>3.04</v>
      </c>
    </row>
    <row r="32" spans="1:15" s="227" customFormat="1" ht="11.25" customHeight="1">
      <c r="A32" s="228"/>
      <c r="B32" s="228"/>
      <c r="C32" s="228"/>
      <c r="D32" s="229"/>
      <c r="E32" s="229"/>
      <c r="F32" s="228"/>
      <c r="G32" s="228"/>
      <c r="H32" s="228"/>
      <c r="I32" s="230"/>
      <c r="J32" s="228"/>
      <c r="K32" s="228"/>
      <c r="L32" s="231"/>
      <c r="M32" s="232"/>
      <c r="N32" s="226"/>
    </row>
    <row r="33" spans="1:19" s="165" customFormat="1" ht="30.75" customHeight="1">
      <c r="A33" s="233" t="s">
        <v>597</v>
      </c>
      <c r="B33" s="234"/>
      <c r="C33" s="234"/>
      <c r="D33" s="234"/>
      <c r="E33" s="234"/>
      <c r="F33" s="234"/>
      <c r="G33" s="234"/>
      <c r="H33" s="152"/>
      <c r="I33" s="152"/>
      <c r="J33" s="235">
        <f>SUM(J30:J32)</f>
        <v>5</v>
      </c>
      <c r="K33" s="235"/>
      <c r="L33" s="235">
        <f>SUM(L30:L32)</f>
        <v>451</v>
      </c>
      <c r="M33" s="258"/>
      <c r="N33" s="236">
        <f>SUM(N30:N32)</f>
        <v>1371.04</v>
      </c>
      <c r="P33" s="237"/>
    </row>
    <row r="34" spans="1:19" s="165" customFormat="1" ht="19.5" customHeight="1" thickBot="1">
      <c r="A34" s="238"/>
      <c r="B34" s="239"/>
      <c r="C34" s="239"/>
      <c r="D34" s="239"/>
      <c r="E34" s="239"/>
      <c r="F34" s="239"/>
      <c r="G34" s="239"/>
      <c r="H34" s="238"/>
      <c r="I34" s="238"/>
      <c r="J34" s="238"/>
      <c r="K34" s="240"/>
      <c r="L34" s="240"/>
      <c r="M34" s="259"/>
      <c r="N34" s="259"/>
    </row>
    <row r="35" spans="1:19" s="94" customFormat="1" ht="55.5" customHeight="1" thickBot="1">
      <c r="A35" s="290" t="s">
        <v>672</v>
      </c>
      <c r="B35" s="291"/>
      <c r="C35" s="291"/>
      <c r="D35" s="291"/>
      <c r="E35" s="291"/>
      <c r="F35" s="291"/>
      <c r="G35" s="291"/>
      <c r="H35" s="291"/>
      <c r="I35" s="291"/>
      <c r="J35" s="291"/>
      <c r="K35" s="291"/>
      <c r="L35" s="291"/>
      <c r="M35" s="291"/>
      <c r="N35" s="292"/>
    </row>
    <row r="36" spans="1:19" s="94" customFormat="1" ht="57.75" customHeight="1" thickBot="1">
      <c r="A36" s="290" t="s">
        <v>671</v>
      </c>
      <c r="B36" s="291"/>
      <c r="C36" s="291"/>
      <c r="D36" s="291"/>
      <c r="E36" s="291"/>
      <c r="F36" s="291"/>
      <c r="G36" s="291"/>
      <c r="H36" s="291"/>
      <c r="I36" s="291"/>
      <c r="J36" s="291"/>
      <c r="K36" s="291"/>
      <c r="L36" s="291"/>
      <c r="M36" s="291"/>
      <c r="N36" s="292"/>
    </row>
    <row r="37" spans="1:19" s="94" customFormat="1" ht="18.75" customHeight="1">
      <c r="A37" s="109"/>
      <c r="B37" s="109"/>
      <c r="C37" s="109"/>
      <c r="D37" s="109"/>
      <c r="E37" s="109"/>
      <c r="F37" s="109"/>
      <c r="H37" s="241"/>
      <c r="I37" s="120"/>
      <c r="J37" s="238"/>
      <c r="K37" s="242"/>
      <c r="L37" s="242"/>
      <c r="M37" s="109"/>
      <c r="N37" s="243"/>
    </row>
    <row r="38" spans="1:19" s="94" customFormat="1" ht="19.5" customHeight="1">
      <c r="A38" s="94" t="s">
        <v>20</v>
      </c>
      <c r="B38" s="244"/>
      <c r="C38" s="245">
        <f>'Packing List'!B63</f>
        <v>451</v>
      </c>
      <c r="D38" s="94" t="s">
        <v>4</v>
      </c>
      <c r="F38" s="109"/>
      <c r="G38" s="143"/>
      <c r="H38" s="143"/>
      <c r="I38" s="143"/>
      <c r="J38" s="164"/>
      <c r="K38" s="246"/>
      <c r="L38" s="246"/>
      <c r="M38" s="109"/>
      <c r="N38" s="243"/>
    </row>
    <row r="39" spans="1:19" s="94" customFormat="1" ht="19.5" customHeight="1">
      <c r="A39" s="94" t="s">
        <v>22</v>
      </c>
      <c r="B39" s="244"/>
      <c r="C39" s="245">
        <f>'Packing List'!B64</f>
        <v>5</v>
      </c>
      <c r="D39" s="94" t="s">
        <v>18</v>
      </c>
      <c r="F39" s="109"/>
      <c r="L39" s="246"/>
      <c r="N39" s="243"/>
      <c r="S39" s="94">
        <f>2883-2853.47</f>
        <v>29.5300000000002</v>
      </c>
    </row>
    <row r="40" spans="1:19" s="94" customFormat="1" ht="19.5" customHeight="1">
      <c r="A40" s="94" t="s">
        <v>21</v>
      </c>
      <c r="B40" s="247"/>
      <c r="C40" s="248">
        <f>'Packing List'!B65</f>
        <v>44.35</v>
      </c>
      <c r="D40" s="94" t="s">
        <v>19</v>
      </c>
      <c r="F40" s="109"/>
      <c r="L40" s="246"/>
      <c r="N40" s="243"/>
    </row>
    <row r="41" spans="1:19" s="94" customFormat="1" ht="19.5" customHeight="1">
      <c r="A41" s="94" t="s">
        <v>32</v>
      </c>
      <c r="B41" s="247"/>
      <c r="C41" s="248">
        <f>'Packing List'!B66</f>
        <v>49.6</v>
      </c>
      <c r="D41" s="94" t="s">
        <v>19</v>
      </c>
      <c r="F41" s="109"/>
      <c r="L41" s="246"/>
      <c r="N41" s="243"/>
    </row>
    <row r="42" spans="1:19" s="94" customFormat="1" ht="19.5" customHeight="1">
      <c r="A42" s="94" t="s">
        <v>619</v>
      </c>
      <c r="B42" s="247"/>
      <c r="C42" s="248">
        <f>'Packing List'!B67</f>
        <v>0.162545</v>
      </c>
      <c r="F42" s="109"/>
      <c r="L42" s="246"/>
      <c r="N42" s="243"/>
    </row>
    <row r="43" spans="1:19" s="94" customFormat="1" ht="15" customHeight="1">
      <c r="A43" s="249" t="str">
        <f>'Packing List'!A68</f>
        <v>Carton Measurement : 59x29x33 CM.</v>
      </c>
      <c r="D43" s="250">
        <f>'Packing List'!D68</f>
        <v>0</v>
      </c>
      <c r="F43" s="109"/>
      <c r="L43" s="246"/>
      <c r="N43" s="243"/>
    </row>
    <row r="44" spans="1:19" s="94" customFormat="1" ht="13.5" customHeight="1">
      <c r="A44" s="249" t="str">
        <f>'Packing List'!A69</f>
        <v>Carton Measurement : 59x29x19 CM.</v>
      </c>
      <c r="D44" s="251">
        <f>'Packing List'!D69</f>
        <v>5</v>
      </c>
      <c r="F44" s="109"/>
      <c r="L44" s="246"/>
      <c r="N44" s="243"/>
    </row>
    <row r="45" spans="1:19" s="94" customFormat="1" ht="13.5" customHeight="1">
      <c r="A45" s="249" t="str">
        <f>'Packing List'!A70</f>
        <v>Carton Measurement : 59x29x29 CM.</v>
      </c>
      <c r="D45" s="250">
        <f>'Packing List'!D70</f>
        <v>0</v>
      </c>
      <c r="F45" s="109"/>
      <c r="L45" s="246"/>
      <c r="N45" s="243"/>
    </row>
    <row r="46" spans="1:19" s="94" customFormat="1" ht="13.5" customHeight="1">
      <c r="A46" s="252"/>
      <c r="D46" s="251"/>
      <c r="F46" s="109"/>
      <c r="L46" s="246"/>
      <c r="N46" s="243"/>
    </row>
    <row r="47" spans="1:19" s="94" customFormat="1" ht="13.5" customHeight="1">
      <c r="A47" s="148"/>
      <c r="F47" s="109"/>
      <c r="L47" s="246"/>
      <c r="N47" s="243"/>
    </row>
    <row r="48" spans="1:19" s="94" customFormat="1" ht="15" customHeight="1">
      <c r="A48" s="148"/>
      <c r="J48" s="134"/>
      <c r="K48" s="246"/>
      <c r="L48" s="246"/>
      <c r="N48" s="243"/>
    </row>
    <row r="49" spans="1:14" s="94" customFormat="1" ht="15" customHeight="1">
      <c r="A49" s="148"/>
      <c r="J49" s="134"/>
      <c r="K49" s="246"/>
      <c r="L49" s="246"/>
      <c r="N49" s="243"/>
    </row>
    <row r="50" spans="1:14" s="94" customFormat="1" ht="12.6">
      <c r="J50" s="134"/>
      <c r="K50" s="246"/>
      <c r="L50" s="246"/>
      <c r="N50" s="243"/>
    </row>
    <row r="51" spans="1:14" s="94" customFormat="1">
      <c r="A51" s="148" t="s">
        <v>16</v>
      </c>
      <c r="H51" s="168"/>
      <c r="J51" s="134"/>
      <c r="K51" s="246"/>
      <c r="L51" s="246"/>
      <c r="N51" s="243"/>
    </row>
  </sheetData>
  <autoFilter ref="A29:P30" xr:uid="{924F938E-45E4-43FE-8F8B-32013AE787CA}"/>
  <mergeCells count="6">
    <mergeCell ref="A1:N1"/>
    <mergeCell ref="A28:N28"/>
    <mergeCell ref="H22:N23"/>
    <mergeCell ref="A35:N35"/>
    <mergeCell ref="A36:N36"/>
    <mergeCell ref="N2:N3"/>
  </mergeCells>
  <phoneticPr fontId="2" type="noConversion"/>
  <printOptions horizontalCentered="1"/>
  <pageMargins left="0.39370078740157483" right="0.15748031496062992" top="1.1417322834645669" bottom="0.74803149606299213" header="0.51181102362204722" footer="0.19685039370078741"/>
  <pageSetup paperSize="9" scale="60"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EECF6-1096-4EE1-BDF1-BA1C36A6BA1D}">
  <sheetPr>
    <pageSetUpPr fitToPage="1"/>
  </sheetPr>
  <dimension ref="A1:AK77"/>
  <sheetViews>
    <sheetView showGridLines="0" view="pageBreakPreview" topLeftCell="A6" zoomScale="90" zoomScaleNormal="100" zoomScaleSheetLayoutView="90" workbookViewId="0">
      <selection activeCell="C13" sqref="C13"/>
    </sheetView>
  </sheetViews>
  <sheetFormatPr defaultColWidth="8.88671875" defaultRowHeight="15" customHeight="1"/>
  <cols>
    <col min="1" max="1" width="16" style="94" customWidth="1"/>
    <col min="2" max="2" width="9.33203125" style="94" customWidth="1"/>
    <col min="3" max="3" width="10.88671875" style="94" customWidth="1"/>
    <col min="4" max="4" width="8.88671875" style="94" customWidth="1"/>
    <col min="5" max="5" width="12.6640625" style="94" customWidth="1"/>
    <col min="6" max="6" width="18" style="94" customWidth="1"/>
    <col min="7" max="7" width="15" style="94" customWidth="1"/>
    <col min="8" max="9" width="10.5546875" style="134" customWidth="1"/>
    <col min="10" max="10" width="7.44140625" style="134" customWidth="1"/>
    <col min="11" max="11" width="7.5546875" style="134" customWidth="1"/>
    <col min="12" max="12" width="12.5546875" style="94" customWidth="1"/>
    <col min="13" max="13" width="6.6640625" style="94" customWidth="1"/>
    <col min="14" max="14" width="6.88671875" style="94" customWidth="1"/>
    <col min="15" max="16" width="9.109375" style="94" bestFit="1" customWidth="1"/>
    <col min="17" max="18" width="9.33203125" style="94" bestFit="1" customWidth="1"/>
    <col min="19" max="21" width="9.109375" style="94" bestFit="1" customWidth="1"/>
    <col min="22" max="22" width="10.5546875" style="94" bestFit="1" customWidth="1"/>
    <col min="23" max="23" width="11.44140625" style="94" bestFit="1" customWidth="1"/>
    <col min="24" max="24" width="10.44140625" style="94" bestFit="1" customWidth="1"/>
    <col min="25" max="36" width="9.33203125" style="94" bestFit="1" customWidth="1"/>
    <col min="37" max="37" width="9.109375" style="94" bestFit="1" customWidth="1"/>
    <col min="38" max="38" width="9" style="94" bestFit="1" customWidth="1"/>
    <col min="39" max="16384" width="8.88671875" style="94"/>
  </cols>
  <sheetData>
    <row r="1" spans="1:12" ht="19.8">
      <c r="A1" s="294" t="s">
        <v>25</v>
      </c>
      <c r="B1" s="294"/>
      <c r="C1" s="294"/>
      <c r="D1" s="294"/>
      <c r="E1" s="294"/>
      <c r="F1" s="294"/>
      <c r="G1" s="294"/>
      <c r="H1" s="294"/>
      <c r="I1" s="294"/>
      <c r="J1" s="294"/>
      <c r="K1" s="294"/>
      <c r="L1" s="294"/>
    </row>
    <row r="2" spans="1:12" ht="15" customHeight="1">
      <c r="A2" s="95" t="str">
        <f>Invoice!A2</f>
        <v xml:space="preserve">Invoice No. </v>
      </c>
      <c r="B2" s="96" t="str">
        <f>Invoice!B2</f>
        <v>106725</v>
      </c>
      <c r="C2" s="97"/>
      <c r="D2" s="97"/>
      <c r="E2" s="97"/>
      <c r="F2" s="97"/>
      <c r="G2" s="96"/>
      <c r="H2" s="98" t="str">
        <f>Invoice!H4</f>
        <v>Contract No. ETL/ESL/ALL/745/2024</v>
      </c>
      <c r="I2" s="99"/>
      <c r="J2" s="96"/>
      <c r="K2" s="96"/>
      <c r="L2" s="100"/>
    </row>
    <row r="3" spans="1:12" ht="15" customHeight="1">
      <c r="A3" s="101" t="str">
        <f>Invoice!A3</f>
        <v>Date: 20/04/2026</v>
      </c>
      <c r="B3" s="102"/>
      <c r="C3" s="102"/>
      <c r="D3" s="102"/>
      <c r="E3" s="102"/>
      <c r="F3" s="102"/>
      <c r="G3" s="102"/>
      <c r="H3" s="101" t="str">
        <f>Invoice!H5</f>
        <v>Date: 26/08/2024</v>
      </c>
      <c r="I3" s="102"/>
      <c r="J3" s="102"/>
      <c r="K3" s="102"/>
      <c r="L3" s="103"/>
    </row>
    <row r="4" spans="1:12" ht="15" customHeight="1">
      <c r="A4" s="104" t="s">
        <v>0</v>
      </c>
      <c r="B4" s="105"/>
      <c r="C4" s="105"/>
      <c r="D4" s="105"/>
      <c r="E4" s="105"/>
      <c r="F4" s="105"/>
      <c r="G4" s="99"/>
      <c r="H4" s="104" t="s">
        <v>6</v>
      </c>
      <c r="I4" s="106"/>
      <c r="J4" s="106"/>
      <c r="K4" s="106"/>
      <c r="L4" s="107"/>
    </row>
    <row r="5" spans="1:12" ht="15" customHeight="1">
      <c r="A5" s="108" t="s">
        <v>549</v>
      </c>
      <c r="B5" s="109"/>
      <c r="C5" s="109"/>
      <c r="D5" s="109"/>
      <c r="E5" s="109"/>
      <c r="F5" s="109"/>
      <c r="G5" s="109"/>
      <c r="H5" s="108" t="s">
        <v>7</v>
      </c>
      <c r="I5" s="109"/>
      <c r="J5" s="109"/>
      <c r="K5" s="109"/>
      <c r="L5" s="110"/>
    </row>
    <row r="6" spans="1:12" ht="15" customHeight="1">
      <c r="A6" s="108" t="s">
        <v>550</v>
      </c>
      <c r="B6" s="109"/>
      <c r="C6" s="109"/>
      <c r="D6" s="109"/>
      <c r="E6" s="109"/>
      <c r="F6" s="109"/>
      <c r="G6" s="109"/>
      <c r="H6" s="108" t="s">
        <v>8</v>
      </c>
      <c r="I6" s="109"/>
      <c r="J6" s="109"/>
      <c r="K6" s="109"/>
      <c r="L6" s="110"/>
    </row>
    <row r="7" spans="1:12" ht="15" customHeight="1">
      <c r="A7" s="108"/>
      <c r="B7" s="109"/>
      <c r="C7" s="109"/>
      <c r="D7" s="109"/>
      <c r="E7" s="109"/>
      <c r="F7" s="109"/>
      <c r="G7" s="110"/>
      <c r="H7" s="108" t="s">
        <v>2</v>
      </c>
      <c r="I7" s="109"/>
      <c r="J7" s="109"/>
      <c r="K7" s="109"/>
      <c r="L7" s="110"/>
    </row>
    <row r="8" spans="1:12" ht="15" customHeight="1">
      <c r="A8" s="119"/>
      <c r="B8" s="109"/>
      <c r="C8" s="109"/>
      <c r="D8" s="109"/>
      <c r="E8" s="109"/>
      <c r="F8" s="109"/>
      <c r="G8" s="110"/>
      <c r="H8" s="108" t="s">
        <v>9</v>
      </c>
      <c r="I8" s="109"/>
      <c r="J8" s="109"/>
      <c r="K8" s="109"/>
      <c r="L8" s="110"/>
    </row>
    <row r="9" spans="1:12" ht="15" customHeight="1">
      <c r="A9" s="108"/>
      <c r="B9" s="109"/>
      <c r="C9" s="109"/>
      <c r="D9" s="109"/>
      <c r="E9" s="109"/>
      <c r="F9" s="109"/>
      <c r="G9" s="110"/>
      <c r="H9" s="108" t="s">
        <v>3</v>
      </c>
      <c r="I9" s="109"/>
      <c r="J9" s="109"/>
      <c r="K9" s="109"/>
      <c r="L9" s="110"/>
    </row>
    <row r="10" spans="1:12" ht="15" customHeight="1">
      <c r="A10" s="108"/>
      <c r="B10" s="109"/>
      <c r="C10" s="109"/>
      <c r="D10" s="109"/>
      <c r="E10" s="109"/>
      <c r="F10" s="109"/>
      <c r="G10" s="110"/>
      <c r="H10" s="108" t="s">
        <v>10</v>
      </c>
      <c r="I10" s="109"/>
      <c r="J10" s="109"/>
      <c r="K10" s="109"/>
      <c r="L10" s="110"/>
    </row>
    <row r="11" spans="1:12" ht="15" customHeight="1">
      <c r="A11" s="108"/>
      <c r="B11" s="109"/>
      <c r="C11" s="109"/>
      <c r="D11" s="109"/>
      <c r="E11" s="109"/>
      <c r="F11" s="109"/>
      <c r="G11" s="110"/>
      <c r="H11" s="111" t="s">
        <v>11</v>
      </c>
      <c r="I11" s="112"/>
      <c r="J11" s="112"/>
      <c r="K11" s="112"/>
      <c r="L11" s="113"/>
    </row>
    <row r="12" spans="1:12" ht="15" customHeight="1">
      <c r="A12" s="108"/>
      <c r="B12" s="109"/>
      <c r="C12" s="109"/>
      <c r="D12" s="109"/>
      <c r="E12" s="109"/>
      <c r="F12" s="109"/>
      <c r="G12" s="110"/>
      <c r="H12" s="104" t="s">
        <v>12</v>
      </c>
      <c r="I12" s="106"/>
      <c r="J12" s="106"/>
      <c r="K12" s="106"/>
      <c r="L12" s="107"/>
    </row>
    <row r="13" spans="1:12" ht="15" customHeight="1">
      <c r="A13" s="108"/>
      <c r="B13" s="109"/>
      <c r="C13" s="109"/>
      <c r="D13" s="109"/>
      <c r="E13" s="109"/>
      <c r="F13" s="109"/>
      <c r="G13" s="110"/>
      <c r="H13" s="108" t="s">
        <v>13</v>
      </c>
      <c r="I13" s="109"/>
      <c r="J13" s="109"/>
      <c r="K13" s="114"/>
      <c r="L13" s="115"/>
    </row>
    <row r="14" spans="1:12" ht="15" customHeight="1">
      <c r="A14" s="108"/>
      <c r="B14" s="109"/>
      <c r="C14" s="109"/>
      <c r="D14" s="109"/>
      <c r="E14" s="109"/>
      <c r="F14" s="109"/>
      <c r="G14" s="110"/>
      <c r="H14" s="108" t="s">
        <v>14</v>
      </c>
      <c r="I14" s="109"/>
      <c r="J14" s="109"/>
      <c r="K14" s="109"/>
      <c r="L14" s="110"/>
    </row>
    <row r="15" spans="1:12" ht="15" customHeight="1">
      <c r="A15" s="116"/>
      <c r="B15" s="109"/>
      <c r="C15" s="109"/>
      <c r="D15" s="109"/>
      <c r="E15" s="109"/>
      <c r="F15" s="109"/>
      <c r="G15" s="110"/>
      <c r="H15" s="108" t="s">
        <v>15</v>
      </c>
      <c r="I15" s="109"/>
      <c r="J15" s="109"/>
      <c r="K15" s="109"/>
      <c r="L15" s="110"/>
    </row>
    <row r="16" spans="1:12" ht="15" customHeight="1">
      <c r="A16" s="108"/>
      <c r="B16" s="109"/>
      <c r="C16" s="109"/>
      <c r="D16" s="109"/>
      <c r="E16" s="109"/>
      <c r="F16" s="109"/>
      <c r="G16" s="110"/>
      <c r="H16" s="117"/>
      <c r="I16" s="94"/>
      <c r="J16" s="94"/>
      <c r="K16" s="109"/>
      <c r="L16" s="110"/>
    </row>
    <row r="17" spans="1:37" ht="15" customHeight="1">
      <c r="A17" s="108"/>
      <c r="B17" s="109"/>
      <c r="C17" s="109"/>
      <c r="D17" s="109"/>
      <c r="E17" s="109"/>
      <c r="F17" s="109"/>
      <c r="G17" s="110"/>
      <c r="H17" s="111"/>
      <c r="I17" s="112"/>
      <c r="J17" s="112"/>
      <c r="K17" s="112"/>
      <c r="L17" s="113"/>
    </row>
    <row r="18" spans="1:37" ht="15" customHeight="1">
      <c r="A18" s="108"/>
      <c r="B18" s="109"/>
      <c r="C18" s="109"/>
      <c r="D18" s="109"/>
      <c r="E18" s="109"/>
      <c r="F18" s="109"/>
      <c r="G18" s="110"/>
      <c r="H18" s="108" t="s">
        <v>23</v>
      </c>
      <c r="I18" s="109"/>
      <c r="J18" s="109"/>
      <c r="K18" s="109"/>
      <c r="L18" s="110"/>
    </row>
    <row r="19" spans="1:37" ht="15" customHeight="1">
      <c r="A19" s="118" t="s">
        <v>1</v>
      </c>
      <c r="B19" s="112"/>
      <c r="C19" s="112"/>
      <c r="D19" s="112"/>
      <c r="E19" s="112"/>
      <c r="F19" s="112"/>
      <c r="G19" s="112"/>
      <c r="H19" s="108" t="s">
        <v>24</v>
      </c>
      <c r="I19" s="109"/>
      <c r="J19" s="109"/>
      <c r="K19" s="109"/>
      <c r="L19" s="110"/>
    </row>
    <row r="20" spans="1:37" ht="15" customHeight="1">
      <c r="A20" s="119" t="s">
        <v>26</v>
      </c>
      <c r="B20" s="109"/>
      <c r="C20" s="109"/>
      <c r="D20" s="109"/>
      <c r="E20" s="109"/>
      <c r="F20" s="109"/>
      <c r="G20" s="109"/>
      <c r="H20" s="111"/>
      <c r="I20" s="112"/>
      <c r="J20" s="112"/>
      <c r="K20" s="112"/>
      <c r="L20" s="113"/>
    </row>
    <row r="21" spans="1:37" ht="15" customHeight="1">
      <c r="A21" s="108" t="s">
        <v>29</v>
      </c>
      <c r="B21" s="109"/>
      <c r="C21" s="109"/>
      <c r="D21" s="109"/>
      <c r="E21" s="109"/>
      <c r="F21" s="109"/>
      <c r="G21" s="120"/>
      <c r="H21" s="121" t="str">
        <f>Invoice!H24</f>
        <v>Incoterm: CPT</v>
      </c>
      <c r="I21" s="105"/>
      <c r="J21" s="105"/>
      <c r="K21" s="105"/>
      <c r="L21" s="107"/>
    </row>
    <row r="22" spans="1:37" ht="15" customHeight="1">
      <c r="A22" s="108" t="s">
        <v>30</v>
      </c>
      <c r="B22" s="109"/>
      <c r="C22" s="109"/>
      <c r="D22" s="109"/>
      <c r="E22" s="109"/>
      <c r="F22" s="109"/>
      <c r="G22" s="109"/>
      <c r="H22" s="108" t="str">
        <f>Invoice!H25</f>
        <v>Shipment: By Air</v>
      </c>
      <c r="I22" s="109"/>
      <c r="J22" s="109"/>
      <c r="K22" s="109"/>
      <c r="L22" s="110"/>
    </row>
    <row r="23" spans="1:37" ht="15" customHeight="1">
      <c r="A23" s="119" t="s">
        <v>27</v>
      </c>
      <c r="B23" s="109"/>
      <c r="C23" s="109"/>
      <c r="D23" s="109"/>
      <c r="E23" s="109"/>
      <c r="F23" s="109"/>
      <c r="G23" s="109"/>
      <c r="H23" s="108" t="str">
        <f>Invoice!H26</f>
        <v>From : Dhaka Airport, Bangladesh</v>
      </c>
      <c r="I23" s="109"/>
      <c r="J23" s="109"/>
      <c r="K23" s="109"/>
      <c r="L23" s="110"/>
    </row>
    <row r="24" spans="1:37" ht="15" customHeight="1">
      <c r="A24" s="111" t="s">
        <v>28</v>
      </c>
      <c r="B24" s="112"/>
      <c r="C24" s="112"/>
      <c r="D24" s="112"/>
      <c r="E24" s="112"/>
      <c r="F24" s="112"/>
      <c r="G24" s="112"/>
      <c r="H24" s="111" t="str">
        <f>Invoice!H27</f>
        <v>To: LHR.</v>
      </c>
      <c r="I24" s="112"/>
      <c r="J24" s="112"/>
      <c r="K24" s="112"/>
      <c r="L24" s="113"/>
    </row>
    <row r="25" spans="1:37" ht="15" customHeight="1">
      <c r="A25" s="122"/>
      <c r="B25" s="123"/>
      <c r="C25" s="123"/>
      <c r="D25" s="123"/>
      <c r="E25" s="123"/>
      <c r="F25" s="123"/>
      <c r="G25" s="123"/>
      <c r="H25" s="122"/>
      <c r="I25" s="123"/>
      <c r="J25" s="123"/>
      <c r="K25" s="123"/>
      <c r="L25" s="124"/>
    </row>
    <row r="26" spans="1:37" ht="15" customHeight="1">
      <c r="A26" s="120" t="s">
        <v>615</v>
      </c>
      <c r="B26" s="109"/>
      <c r="C26" s="109"/>
      <c r="D26" s="109"/>
      <c r="E26" s="109"/>
      <c r="F26" s="109"/>
      <c r="G26" s="109"/>
      <c r="H26" s="109"/>
      <c r="I26" s="109"/>
      <c r="J26" s="109"/>
      <c r="K26" s="109"/>
      <c r="L26" s="109"/>
    </row>
    <row r="27" spans="1:37" s="129" customFormat="1" ht="12.15" customHeight="1">
      <c r="A27" s="125"/>
      <c r="B27" s="126"/>
      <c r="C27" s="127"/>
      <c r="D27" s="128"/>
      <c r="E27" s="126"/>
      <c r="F27" s="126"/>
      <c r="G27" s="126"/>
      <c r="H27" s="127"/>
      <c r="I27" s="127"/>
      <c r="J27" s="127"/>
      <c r="K27" s="127"/>
      <c r="L27" s="126"/>
    </row>
    <row r="28" spans="1:37" s="129" customFormat="1" ht="15.9" customHeight="1">
      <c r="A28" s="149" t="s">
        <v>639</v>
      </c>
      <c r="B28" s="149">
        <f>X28</f>
        <v>3670521</v>
      </c>
      <c r="C28" s="149" t="s">
        <v>640</v>
      </c>
      <c r="D28" s="149">
        <f>Z28</f>
        <v>9477005</v>
      </c>
      <c r="E28" s="149" t="s">
        <v>641</v>
      </c>
      <c r="F28" s="149" t="str">
        <f>AB28</f>
        <v>NLJWFOR-0028</v>
      </c>
      <c r="G28" s="149" t="str">
        <f>AC28</f>
        <v>ETEX-35193</v>
      </c>
      <c r="H28" s="150"/>
      <c r="I28" s="150"/>
      <c r="J28" s="126"/>
      <c r="K28" s="126"/>
      <c r="L28" s="130"/>
      <c r="M28" s="126"/>
      <c r="N28" s="126"/>
      <c r="P28" s="150" t="s">
        <v>642</v>
      </c>
      <c r="Q28" s="150" t="s">
        <v>643</v>
      </c>
      <c r="R28" s="150" t="s">
        <v>644</v>
      </c>
      <c r="S28" s="150" t="s">
        <v>645</v>
      </c>
      <c r="W28" s="149" t="s">
        <v>670</v>
      </c>
      <c r="X28" s="149">
        <v>3670521</v>
      </c>
      <c r="Y28" s="149" t="s">
        <v>640</v>
      </c>
      <c r="Z28" s="149">
        <v>9477005</v>
      </c>
      <c r="AA28" s="149" t="s">
        <v>641</v>
      </c>
      <c r="AB28" s="149" t="s">
        <v>637</v>
      </c>
      <c r="AC28" s="149" t="s">
        <v>636</v>
      </c>
      <c r="AD28" s="151" t="s">
        <v>634</v>
      </c>
      <c r="AE28" s="149">
        <v>1</v>
      </c>
    </row>
    <row r="29" spans="1:37" s="129" customFormat="1" ht="15.9" customHeight="1">
      <c r="A29" s="150"/>
      <c r="B29" s="150"/>
      <c r="C29" s="150"/>
      <c r="D29" s="150"/>
      <c r="E29" s="150"/>
      <c r="F29" s="150"/>
      <c r="G29" s="150"/>
      <c r="H29" s="150"/>
      <c r="I29" s="150"/>
      <c r="J29" s="126"/>
      <c r="K29" s="126"/>
      <c r="L29" s="130"/>
      <c r="M29" s="126"/>
      <c r="N29" s="126"/>
      <c r="P29" s="150"/>
      <c r="Q29" s="150"/>
      <c r="R29" s="150"/>
      <c r="S29" s="150"/>
      <c r="V29" s="152" t="s">
        <v>639</v>
      </c>
      <c r="W29" s="153">
        <f>B28</f>
        <v>3670521</v>
      </c>
    </row>
    <row r="30" spans="1:37" s="129" customFormat="1" ht="15.9" customHeight="1">
      <c r="A30" s="131" t="s">
        <v>3</v>
      </c>
      <c r="B30" s="131" t="s">
        <v>646</v>
      </c>
      <c r="C30" s="131" t="s">
        <v>9</v>
      </c>
      <c r="D30" s="276" t="s">
        <v>647</v>
      </c>
      <c r="E30" s="277"/>
      <c r="F30" s="132" t="s">
        <v>648</v>
      </c>
      <c r="G30" s="132" t="s">
        <v>649</v>
      </c>
      <c r="H30" s="132" t="s">
        <v>650</v>
      </c>
      <c r="I30" s="278" t="s">
        <v>651</v>
      </c>
      <c r="J30" s="279"/>
      <c r="K30" s="280"/>
      <c r="L30" s="130"/>
      <c r="M30" s="126"/>
      <c r="N30" s="126"/>
      <c r="P30" s="150"/>
      <c r="Q30" s="150"/>
      <c r="R30" s="150"/>
      <c r="S30" s="150"/>
      <c r="V30" s="152" t="s">
        <v>652</v>
      </c>
      <c r="W30" s="154">
        <v>4</v>
      </c>
      <c r="X30" s="155">
        <v>6</v>
      </c>
      <c r="Y30" s="154">
        <v>8</v>
      </c>
      <c r="Z30" s="154">
        <v>10</v>
      </c>
      <c r="AA30" s="154">
        <v>12</v>
      </c>
      <c r="AB30" s="154">
        <v>14</v>
      </c>
      <c r="AC30" s="154">
        <v>16</v>
      </c>
      <c r="AD30" s="154">
        <v>18</v>
      </c>
      <c r="AE30" s="154">
        <v>20</v>
      </c>
      <c r="AF30" s="154">
        <v>22</v>
      </c>
      <c r="AG30" s="154">
        <v>24</v>
      </c>
      <c r="AH30" s="154">
        <v>26</v>
      </c>
      <c r="AI30" s="154">
        <v>28</v>
      </c>
      <c r="AJ30" s="152">
        <v>30</v>
      </c>
      <c r="AK30" s="152">
        <v>32</v>
      </c>
    </row>
    <row r="31" spans="1:37" s="129" customFormat="1" ht="15.9" customHeight="1">
      <c r="A31" s="156" t="str">
        <f>AD28</f>
        <v>BLACK</v>
      </c>
      <c r="B31" s="149">
        <f>AE28</f>
        <v>1</v>
      </c>
      <c r="C31" s="133">
        <v>14</v>
      </c>
      <c r="D31" s="269">
        <v>1</v>
      </c>
      <c r="E31" s="269">
        <f>F31</f>
        <v>1</v>
      </c>
      <c r="F31" s="272">
        <v>1</v>
      </c>
      <c r="G31" s="133">
        <v>56</v>
      </c>
      <c r="H31" s="133">
        <f>F31*G31</f>
        <v>56</v>
      </c>
      <c r="I31" s="264">
        <v>9477034</v>
      </c>
      <c r="J31" s="265"/>
      <c r="K31" s="266"/>
      <c r="L31" s="130"/>
      <c r="M31" s="134"/>
      <c r="N31" s="134"/>
      <c r="O31" s="134"/>
      <c r="P31" s="267">
        <f>Q31-1.05</f>
        <v>9.75</v>
      </c>
      <c r="Q31" s="267">
        <v>10.8</v>
      </c>
      <c r="R31" s="267">
        <f>P31*F31</f>
        <v>9.75</v>
      </c>
      <c r="S31" s="275">
        <f>Q31*F31</f>
        <v>10.8</v>
      </c>
      <c r="T31" s="131" t="s">
        <v>653</v>
      </c>
      <c r="U31" s="131"/>
      <c r="V31" s="131"/>
      <c r="W31" s="158"/>
      <c r="X31" s="159">
        <v>9477030</v>
      </c>
      <c r="Y31" s="159">
        <v>9477033</v>
      </c>
      <c r="Z31" s="159">
        <v>9477028</v>
      </c>
      <c r="AA31" s="159">
        <v>9477031</v>
      </c>
      <c r="AB31" s="159">
        <v>9477034</v>
      </c>
      <c r="AC31" s="159">
        <v>9477036</v>
      </c>
      <c r="AD31" s="159">
        <v>9477027</v>
      </c>
      <c r="AE31" s="159">
        <v>9477029</v>
      </c>
      <c r="AF31" s="159">
        <v>9477032</v>
      </c>
      <c r="AG31" s="153"/>
      <c r="AH31" s="153"/>
      <c r="AI31" s="153"/>
      <c r="AJ31" s="153"/>
      <c r="AK31" s="153"/>
    </row>
    <row r="32" spans="1:37" s="129" customFormat="1" ht="15.9" customHeight="1">
      <c r="A32" s="133" t="s">
        <v>654</v>
      </c>
      <c r="B32" s="133" t="s">
        <v>654</v>
      </c>
      <c r="C32" s="133">
        <v>16</v>
      </c>
      <c r="D32" s="270"/>
      <c r="E32" s="270"/>
      <c r="F32" s="273"/>
      <c r="G32" s="133">
        <v>32</v>
      </c>
      <c r="H32" s="133">
        <f>G32</f>
        <v>32</v>
      </c>
      <c r="I32" s="264">
        <v>9477036</v>
      </c>
      <c r="J32" s="265"/>
      <c r="K32" s="266"/>
      <c r="L32" s="130"/>
      <c r="M32" s="134"/>
      <c r="N32" s="134"/>
      <c r="O32" s="134"/>
      <c r="P32" s="267"/>
      <c r="Q32" s="267"/>
      <c r="R32" s="267"/>
      <c r="S32" s="275"/>
      <c r="T32" s="160" t="s">
        <v>655</v>
      </c>
      <c r="U32" s="131">
        <f>F40-U33</f>
        <v>0</v>
      </c>
      <c r="V32" s="161">
        <f>0.59*0.29*0.33*U32</f>
        <v>0</v>
      </c>
      <c r="W32" s="133" t="s">
        <v>597</v>
      </c>
      <c r="X32" s="131">
        <f>SUM(U32:U36)</f>
        <v>2</v>
      </c>
      <c r="Y32" s="162">
        <f>SUM(V32:V36)</f>
        <v>6.5017999999999992E-2</v>
      </c>
    </row>
    <row r="33" spans="1:37" s="129" customFormat="1" ht="15.9" customHeight="1">
      <c r="A33" s="133" t="s">
        <v>654</v>
      </c>
      <c r="B33" s="133" t="s">
        <v>654</v>
      </c>
      <c r="C33" s="133">
        <v>20</v>
      </c>
      <c r="D33" s="271"/>
      <c r="E33" s="271"/>
      <c r="F33" s="274"/>
      <c r="G33" s="133">
        <v>8</v>
      </c>
      <c r="H33" s="133">
        <f>G33</f>
        <v>8</v>
      </c>
      <c r="I33" s="264">
        <v>9477029</v>
      </c>
      <c r="J33" s="265"/>
      <c r="K33" s="266"/>
      <c r="L33" s="130"/>
      <c r="M33" s="134"/>
      <c r="N33" s="134"/>
      <c r="O33" s="134"/>
      <c r="P33" s="267"/>
      <c r="Q33" s="267"/>
      <c r="R33" s="267"/>
      <c r="S33" s="275"/>
      <c r="T33" s="160" t="s">
        <v>656</v>
      </c>
      <c r="U33" s="131">
        <v>2</v>
      </c>
      <c r="V33" s="163">
        <f>0.59*0.29*0.19*U33</f>
        <v>6.5017999999999992E-2</v>
      </c>
    </row>
    <row r="34" spans="1:37" s="129" customFormat="1" ht="15.9" customHeight="1">
      <c r="A34" s="133" t="s">
        <v>654</v>
      </c>
      <c r="B34" s="133" t="s">
        <v>654</v>
      </c>
      <c r="C34" s="133">
        <v>6</v>
      </c>
      <c r="D34" s="269">
        <v>2</v>
      </c>
      <c r="E34" s="269">
        <v>2</v>
      </c>
      <c r="F34" s="272">
        <v>1</v>
      </c>
      <c r="G34" s="133">
        <v>4</v>
      </c>
      <c r="H34" s="133">
        <f>F34*G34</f>
        <v>4</v>
      </c>
      <c r="I34" s="264">
        <v>9477030</v>
      </c>
      <c r="J34" s="265"/>
      <c r="K34" s="266"/>
      <c r="L34" s="130"/>
      <c r="M34" s="134"/>
      <c r="N34" s="134"/>
      <c r="O34" s="134"/>
      <c r="P34" s="267">
        <f>Q34-1.05</f>
        <v>10.35</v>
      </c>
      <c r="Q34" s="267">
        <v>11.4</v>
      </c>
      <c r="R34" s="267">
        <f>P34*F34</f>
        <v>10.35</v>
      </c>
      <c r="S34" s="267">
        <f>Q34*F34</f>
        <v>11.4</v>
      </c>
      <c r="T34" s="160" t="s">
        <v>657</v>
      </c>
      <c r="U34" s="131"/>
      <c r="V34" s="163">
        <f>0.59*0.29*0.23*U34</f>
        <v>0</v>
      </c>
    </row>
    <row r="35" spans="1:37" s="129" customFormat="1" ht="15.9" customHeight="1">
      <c r="A35" s="133" t="s">
        <v>654</v>
      </c>
      <c r="B35" s="133" t="s">
        <v>654</v>
      </c>
      <c r="C35" s="133">
        <v>8</v>
      </c>
      <c r="D35" s="270"/>
      <c r="E35" s="270"/>
      <c r="F35" s="273"/>
      <c r="G35" s="133">
        <v>6</v>
      </c>
      <c r="H35" s="133">
        <f>G35</f>
        <v>6</v>
      </c>
      <c r="I35" s="264">
        <v>9477033</v>
      </c>
      <c r="J35" s="265"/>
      <c r="K35" s="266"/>
      <c r="L35" s="130"/>
      <c r="M35" s="134"/>
      <c r="N35" s="134"/>
      <c r="O35" s="134"/>
      <c r="P35" s="267"/>
      <c r="Q35" s="267"/>
      <c r="R35" s="267"/>
      <c r="S35" s="267"/>
      <c r="T35" s="160" t="s">
        <v>658</v>
      </c>
      <c r="U35" s="131"/>
      <c r="V35" s="163">
        <f>0.59*0.29*0.37*U35</f>
        <v>0</v>
      </c>
    </row>
    <row r="36" spans="1:37" s="129" customFormat="1" ht="15.9" customHeight="1">
      <c r="A36" s="133" t="s">
        <v>654</v>
      </c>
      <c r="B36" s="133" t="s">
        <v>654</v>
      </c>
      <c r="C36" s="133">
        <v>10</v>
      </c>
      <c r="D36" s="270"/>
      <c r="E36" s="270"/>
      <c r="F36" s="273"/>
      <c r="G36" s="133">
        <v>16</v>
      </c>
      <c r="H36" s="133">
        <f>G36</f>
        <v>16</v>
      </c>
      <c r="I36" s="264">
        <v>9477028</v>
      </c>
      <c r="J36" s="265"/>
      <c r="K36" s="266"/>
      <c r="L36" s="130"/>
      <c r="M36" s="134"/>
      <c r="N36" s="134"/>
      <c r="O36" s="134"/>
      <c r="P36" s="267"/>
      <c r="Q36" s="267"/>
      <c r="R36" s="267"/>
      <c r="S36" s="267"/>
      <c r="T36" s="160" t="s">
        <v>659</v>
      </c>
      <c r="U36" s="131"/>
      <c r="V36" s="163">
        <f>0.59*0.29*0.29*U36</f>
        <v>0</v>
      </c>
    </row>
    <row r="37" spans="1:37" s="129" customFormat="1" ht="15.9" customHeight="1">
      <c r="A37" s="133" t="s">
        <v>654</v>
      </c>
      <c r="B37" s="133" t="s">
        <v>654</v>
      </c>
      <c r="C37" s="133">
        <v>12</v>
      </c>
      <c r="D37" s="270"/>
      <c r="E37" s="270"/>
      <c r="F37" s="273"/>
      <c r="G37" s="133">
        <v>46</v>
      </c>
      <c r="H37" s="133">
        <f>G37</f>
        <v>46</v>
      </c>
      <c r="I37" s="264">
        <v>9477031</v>
      </c>
      <c r="J37" s="265"/>
      <c r="K37" s="266"/>
      <c r="L37" s="130"/>
      <c r="M37" s="134"/>
      <c r="N37" s="126"/>
      <c r="O37" s="134"/>
      <c r="P37" s="267"/>
      <c r="Q37" s="267"/>
      <c r="R37" s="267"/>
      <c r="S37" s="267"/>
    </row>
    <row r="38" spans="1:37" s="129" customFormat="1" ht="15.9" customHeight="1">
      <c r="A38" s="133" t="s">
        <v>654</v>
      </c>
      <c r="B38" s="133" t="s">
        <v>654</v>
      </c>
      <c r="C38" s="133">
        <v>18</v>
      </c>
      <c r="D38" s="270"/>
      <c r="E38" s="270"/>
      <c r="F38" s="273"/>
      <c r="G38" s="133">
        <v>28</v>
      </c>
      <c r="H38" s="133">
        <f>G38</f>
        <v>28</v>
      </c>
      <c r="I38" s="264">
        <v>9477027</v>
      </c>
      <c r="J38" s="265"/>
      <c r="K38" s="266"/>
      <c r="L38" s="130"/>
      <c r="M38" s="134"/>
      <c r="N38" s="126"/>
      <c r="O38" s="134"/>
      <c r="P38" s="267"/>
      <c r="Q38" s="267"/>
      <c r="R38" s="267"/>
      <c r="S38" s="267"/>
      <c r="T38" s="164"/>
      <c r="U38" s="126"/>
      <c r="V38" s="127"/>
    </row>
    <row r="39" spans="1:37" s="129" customFormat="1" ht="15.9" customHeight="1">
      <c r="A39" s="133" t="s">
        <v>654</v>
      </c>
      <c r="B39" s="133" t="s">
        <v>654</v>
      </c>
      <c r="C39" s="133">
        <v>22</v>
      </c>
      <c r="D39" s="271"/>
      <c r="E39" s="271"/>
      <c r="F39" s="274"/>
      <c r="G39" s="133">
        <v>4</v>
      </c>
      <c r="H39" s="133">
        <f>G39</f>
        <v>4</v>
      </c>
      <c r="I39" s="264">
        <v>9477032</v>
      </c>
      <c r="J39" s="265"/>
      <c r="K39" s="266"/>
      <c r="L39" s="130"/>
      <c r="M39" s="134"/>
      <c r="N39" s="126"/>
      <c r="O39" s="134"/>
      <c r="P39" s="267"/>
      <c r="Q39" s="267"/>
      <c r="R39" s="268"/>
      <c r="S39" s="268"/>
      <c r="T39" s="164"/>
      <c r="U39" s="126"/>
      <c r="V39" s="127"/>
    </row>
    <row r="40" spans="1:37" s="129" customFormat="1" ht="15.9" customHeight="1">
      <c r="A40" s="131" t="s">
        <v>660</v>
      </c>
      <c r="B40" s="131"/>
      <c r="C40" s="131" t="s">
        <v>661</v>
      </c>
      <c r="D40" s="131"/>
      <c r="E40" s="131"/>
      <c r="F40" s="131">
        <f>SUM(F31:F39)</f>
        <v>2</v>
      </c>
      <c r="G40" s="133"/>
      <c r="H40" s="131">
        <f>SUM(H31:H39)</f>
        <v>200</v>
      </c>
      <c r="I40" s="264" t="s">
        <v>662</v>
      </c>
      <c r="J40" s="265"/>
      <c r="K40" s="266"/>
      <c r="L40" s="130"/>
      <c r="M40" s="126"/>
      <c r="N40" s="126"/>
      <c r="P40" s="165"/>
      <c r="Q40" s="165"/>
      <c r="R40" s="166">
        <f>SUM(R31:R39)</f>
        <v>20.100000000000001</v>
      </c>
      <c r="S40" s="166">
        <f>SUM(S31:S39)</f>
        <v>22.200000000000003</v>
      </c>
    </row>
    <row r="41" spans="1:37" s="129" customFormat="1" ht="15.9" customHeight="1">
      <c r="A41" s="126"/>
      <c r="B41" s="135" t="s">
        <v>663</v>
      </c>
      <c r="C41" s="127">
        <f>R40</f>
        <v>20.100000000000001</v>
      </c>
      <c r="D41" s="128" t="s">
        <v>19</v>
      </c>
      <c r="E41" s="128"/>
      <c r="F41" s="135" t="s">
        <v>664</v>
      </c>
      <c r="G41" s="127">
        <f>S40</f>
        <v>22.200000000000003</v>
      </c>
      <c r="H41" s="128" t="s">
        <v>19</v>
      </c>
      <c r="I41" s="136" t="s">
        <v>619</v>
      </c>
      <c r="J41" s="137">
        <f>Y32</f>
        <v>6.5017999999999992E-2</v>
      </c>
      <c r="K41" s="138"/>
      <c r="L41" s="130"/>
      <c r="M41" s="126"/>
      <c r="N41" s="126"/>
      <c r="P41" s="139"/>
      <c r="Q41" s="139"/>
      <c r="R41" s="139"/>
      <c r="S41" s="139"/>
      <c r="T41" s="140"/>
      <c r="U41" s="140"/>
      <c r="V41" s="140"/>
      <c r="W41" s="140" t="s">
        <v>665</v>
      </c>
      <c r="X41" s="140"/>
    </row>
    <row r="42" spans="1:37" s="129" customFormat="1" ht="15.9" customHeight="1">
      <c r="A42" s="125"/>
      <c r="B42" s="126"/>
      <c r="C42" s="127"/>
      <c r="D42" s="128"/>
      <c r="E42" s="126"/>
      <c r="F42" s="126"/>
      <c r="G42" s="126"/>
      <c r="H42" s="127"/>
      <c r="I42" s="127"/>
      <c r="J42" s="127"/>
      <c r="K42" s="127"/>
      <c r="L42" s="126"/>
    </row>
    <row r="43" spans="1:37" s="129" customFormat="1" ht="15.9" customHeight="1">
      <c r="A43" s="125"/>
      <c r="B43" s="126"/>
      <c r="C43" s="127"/>
      <c r="D43" s="128"/>
      <c r="E43" s="126"/>
      <c r="F43" s="126"/>
      <c r="G43" s="126"/>
      <c r="H43" s="127"/>
      <c r="I43" s="127"/>
      <c r="J43" s="127"/>
      <c r="K43" s="127"/>
      <c r="L43" s="126"/>
    </row>
    <row r="44" spans="1:37" s="129" customFormat="1" ht="15.9" customHeight="1">
      <c r="A44" s="149" t="s">
        <v>639</v>
      </c>
      <c r="B44" s="149">
        <f>X44</f>
        <v>3670519</v>
      </c>
      <c r="C44" s="149" t="s">
        <v>640</v>
      </c>
      <c r="D44" s="149">
        <f>Z44</f>
        <v>9477005</v>
      </c>
      <c r="E44" s="149" t="s">
        <v>641</v>
      </c>
      <c r="F44" s="149" t="str">
        <f>AB44</f>
        <v>NLJWFOR-0028</v>
      </c>
      <c r="G44" s="149" t="str">
        <f>AC44</f>
        <v>ETEX-35193</v>
      </c>
      <c r="H44" s="150"/>
      <c r="I44" s="150"/>
      <c r="J44" s="126"/>
      <c r="K44" s="126"/>
      <c r="L44" s="130"/>
      <c r="M44" s="126"/>
      <c r="N44" s="126"/>
      <c r="P44" s="150" t="s">
        <v>642</v>
      </c>
      <c r="Q44" s="150" t="s">
        <v>643</v>
      </c>
      <c r="R44" s="150" t="s">
        <v>644</v>
      </c>
      <c r="S44" s="150" t="s">
        <v>645</v>
      </c>
      <c r="W44" s="149" t="s">
        <v>670</v>
      </c>
      <c r="X44" s="149">
        <v>3670519</v>
      </c>
      <c r="Y44" s="149" t="s">
        <v>640</v>
      </c>
      <c r="Z44" s="149">
        <v>9477005</v>
      </c>
      <c r="AA44" s="149" t="s">
        <v>641</v>
      </c>
      <c r="AB44" s="149" t="s">
        <v>637</v>
      </c>
      <c r="AC44" s="149" t="s">
        <v>636</v>
      </c>
      <c r="AD44" s="151" t="s">
        <v>635</v>
      </c>
      <c r="AE44" s="149">
        <v>10</v>
      </c>
    </row>
    <row r="45" spans="1:37" s="129" customFormat="1" ht="15.9" customHeight="1">
      <c r="A45" s="150"/>
      <c r="B45" s="150"/>
      <c r="C45" s="150"/>
      <c r="D45" s="150"/>
      <c r="E45" s="150"/>
      <c r="F45" s="150"/>
      <c r="G45" s="150"/>
      <c r="H45" s="150"/>
      <c r="I45" s="150"/>
      <c r="J45" s="126"/>
      <c r="K45" s="126"/>
      <c r="L45" s="130"/>
      <c r="M45" s="126"/>
      <c r="N45" s="126"/>
      <c r="P45" s="150"/>
      <c r="Q45" s="150"/>
      <c r="R45" s="150"/>
      <c r="S45" s="150"/>
      <c r="V45" s="152" t="s">
        <v>639</v>
      </c>
      <c r="W45" s="153">
        <f>B44</f>
        <v>3670519</v>
      </c>
    </row>
    <row r="46" spans="1:37" s="129" customFormat="1" ht="15.9" customHeight="1">
      <c r="A46" s="131" t="s">
        <v>3</v>
      </c>
      <c r="B46" s="131" t="s">
        <v>646</v>
      </c>
      <c r="C46" s="131" t="s">
        <v>9</v>
      </c>
      <c r="D46" s="276" t="s">
        <v>647</v>
      </c>
      <c r="E46" s="277"/>
      <c r="F46" s="132" t="s">
        <v>648</v>
      </c>
      <c r="G46" s="132" t="s">
        <v>649</v>
      </c>
      <c r="H46" s="132" t="s">
        <v>650</v>
      </c>
      <c r="I46" s="278" t="s">
        <v>651</v>
      </c>
      <c r="J46" s="279"/>
      <c r="K46" s="280"/>
      <c r="L46" s="130"/>
      <c r="M46" s="126"/>
      <c r="N46" s="126"/>
      <c r="P46" s="150"/>
      <c r="Q46" s="150"/>
      <c r="R46" s="150"/>
      <c r="S46" s="150"/>
      <c r="V46" s="152" t="s">
        <v>652</v>
      </c>
      <c r="W46" s="154">
        <v>4</v>
      </c>
      <c r="X46" s="155">
        <v>6</v>
      </c>
      <c r="Y46" s="154">
        <v>8</v>
      </c>
      <c r="Z46" s="154">
        <v>10</v>
      </c>
      <c r="AA46" s="154">
        <v>12</v>
      </c>
      <c r="AB46" s="154">
        <v>14</v>
      </c>
      <c r="AC46" s="154">
        <v>16</v>
      </c>
      <c r="AD46" s="154">
        <v>18</v>
      </c>
      <c r="AE46" s="154">
        <v>20</v>
      </c>
      <c r="AF46" s="154">
        <v>22</v>
      </c>
      <c r="AG46" s="154">
        <v>24</v>
      </c>
      <c r="AH46" s="154">
        <v>26</v>
      </c>
      <c r="AI46" s="154">
        <v>28</v>
      </c>
      <c r="AJ46" s="152">
        <v>30</v>
      </c>
      <c r="AK46" s="152">
        <v>32</v>
      </c>
    </row>
    <row r="47" spans="1:37" s="129" customFormat="1" ht="15.9" customHeight="1">
      <c r="A47" s="156" t="str">
        <f>AD44</f>
        <v>WHITE</v>
      </c>
      <c r="B47" s="149">
        <f>AE44</f>
        <v>10</v>
      </c>
      <c r="C47" s="133">
        <v>14</v>
      </c>
      <c r="D47" s="141">
        <v>1</v>
      </c>
      <c r="E47" s="141">
        <f>F47</f>
        <v>1</v>
      </c>
      <c r="F47" s="167">
        <v>1</v>
      </c>
      <c r="G47" s="133">
        <v>70</v>
      </c>
      <c r="H47" s="133">
        <f>F47*G47</f>
        <v>70</v>
      </c>
      <c r="I47" s="264">
        <v>9477044</v>
      </c>
      <c r="J47" s="265"/>
      <c r="K47" s="266"/>
      <c r="L47" s="130"/>
      <c r="M47" s="134"/>
      <c r="N47" s="134"/>
      <c r="O47" s="134"/>
      <c r="P47" s="157">
        <f>Q47-1.05</f>
        <v>6.55</v>
      </c>
      <c r="Q47" s="157">
        <v>7.6</v>
      </c>
      <c r="R47" s="157">
        <f>P47*F47</f>
        <v>6.55</v>
      </c>
      <c r="S47" s="157">
        <f>Q47*F47</f>
        <v>7.6</v>
      </c>
      <c r="T47" s="131" t="s">
        <v>653</v>
      </c>
      <c r="U47" s="131"/>
      <c r="V47" s="131"/>
      <c r="W47" s="158"/>
      <c r="X47" s="159">
        <v>9477037</v>
      </c>
      <c r="Y47" s="159">
        <v>9477041</v>
      </c>
      <c r="Z47" s="159">
        <v>9477039</v>
      </c>
      <c r="AA47" s="159">
        <v>9477042</v>
      </c>
      <c r="AB47" s="159">
        <v>9477044</v>
      </c>
      <c r="AC47" s="159">
        <v>9477045</v>
      </c>
      <c r="AD47" s="159">
        <v>9477038</v>
      </c>
      <c r="AE47" s="159">
        <v>9477040</v>
      </c>
      <c r="AF47" s="159">
        <v>9477043</v>
      </c>
      <c r="AG47" s="153"/>
      <c r="AH47" s="153"/>
      <c r="AI47" s="153"/>
      <c r="AJ47" s="153"/>
      <c r="AK47" s="153"/>
    </row>
    <row r="48" spans="1:37" s="129" customFormat="1" ht="15.9" customHeight="1">
      <c r="A48" s="133" t="s">
        <v>654</v>
      </c>
      <c r="B48" s="133" t="s">
        <v>654</v>
      </c>
      <c r="C48" s="133">
        <v>12</v>
      </c>
      <c r="D48" s="269">
        <f>E47+1</f>
        <v>2</v>
      </c>
      <c r="E48" s="269">
        <f>E47+F48</f>
        <v>2</v>
      </c>
      <c r="F48" s="272">
        <v>1</v>
      </c>
      <c r="G48" s="133">
        <v>58</v>
      </c>
      <c r="H48" s="133">
        <f>F48*G48</f>
        <v>58</v>
      </c>
      <c r="I48" s="264">
        <v>9477042</v>
      </c>
      <c r="J48" s="265"/>
      <c r="K48" s="266"/>
      <c r="L48" s="130"/>
      <c r="M48" s="134"/>
      <c r="N48" s="134"/>
      <c r="O48" s="134"/>
      <c r="P48" s="267">
        <f>Q48-1.05</f>
        <v>9.1499999999999986</v>
      </c>
      <c r="Q48" s="267">
        <v>10.199999999999999</v>
      </c>
      <c r="R48" s="267">
        <f>P48*F48</f>
        <v>9.1499999999999986</v>
      </c>
      <c r="S48" s="275">
        <f>Q48*F48</f>
        <v>10.199999999999999</v>
      </c>
      <c r="T48" s="160" t="s">
        <v>655</v>
      </c>
      <c r="U48" s="131">
        <f>F56-U49</f>
        <v>0</v>
      </c>
      <c r="V48" s="161">
        <f>0.59*0.29*0.33*U48</f>
        <v>0</v>
      </c>
      <c r="W48" s="133" t="s">
        <v>597</v>
      </c>
      <c r="X48" s="131">
        <f>SUM(U48:U52)</f>
        <v>3</v>
      </c>
      <c r="Y48" s="162">
        <f>SUM(V48:V52)</f>
        <v>9.7526999999999989E-2</v>
      </c>
    </row>
    <row r="49" spans="1:24" s="129" customFormat="1" ht="15.9" customHeight="1">
      <c r="A49" s="133" t="s">
        <v>654</v>
      </c>
      <c r="B49" s="133" t="s">
        <v>654</v>
      </c>
      <c r="C49" s="133">
        <v>16</v>
      </c>
      <c r="D49" s="271"/>
      <c r="E49" s="271"/>
      <c r="F49" s="274"/>
      <c r="G49" s="133">
        <v>40</v>
      </c>
      <c r="H49" s="133">
        <f>G49</f>
        <v>40</v>
      </c>
      <c r="I49" s="264">
        <v>9477045</v>
      </c>
      <c r="J49" s="265"/>
      <c r="K49" s="266"/>
      <c r="L49" s="130"/>
      <c r="M49" s="134"/>
      <c r="N49" s="134"/>
      <c r="O49" s="134"/>
      <c r="P49" s="267"/>
      <c r="Q49" s="267"/>
      <c r="R49" s="267"/>
      <c r="S49" s="275"/>
      <c r="T49" s="160" t="s">
        <v>656</v>
      </c>
      <c r="U49" s="131">
        <v>3</v>
      </c>
      <c r="V49" s="163">
        <f>0.59*0.29*0.19*U49</f>
        <v>9.7526999999999989E-2</v>
      </c>
    </row>
    <row r="50" spans="1:24" s="129" customFormat="1" ht="15.9" customHeight="1">
      <c r="A50" s="133" t="s">
        <v>654</v>
      </c>
      <c r="B50" s="133" t="s">
        <v>654</v>
      </c>
      <c r="C50" s="133">
        <v>6</v>
      </c>
      <c r="D50" s="269">
        <v>3</v>
      </c>
      <c r="E50" s="269">
        <v>3</v>
      </c>
      <c r="F50" s="272">
        <v>1</v>
      </c>
      <c r="G50" s="133">
        <v>5</v>
      </c>
      <c r="H50" s="133">
        <f>F50*G50</f>
        <v>5</v>
      </c>
      <c r="I50" s="264">
        <v>9477037</v>
      </c>
      <c r="J50" s="265"/>
      <c r="K50" s="266"/>
      <c r="L50" s="130"/>
      <c r="M50" s="134"/>
      <c r="N50" s="134"/>
      <c r="O50" s="134"/>
      <c r="P50" s="267">
        <f>Q50-1.05</f>
        <v>8.5499999999999989</v>
      </c>
      <c r="Q50" s="267">
        <v>9.6</v>
      </c>
      <c r="R50" s="267">
        <f>P50*F50</f>
        <v>8.5499999999999989</v>
      </c>
      <c r="S50" s="267">
        <f>Q50*F50</f>
        <v>9.6</v>
      </c>
      <c r="T50" s="160" t="s">
        <v>657</v>
      </c>
      <c r="U50" s="131"/>
      <c r="V50" s="163">
        <f>0.59*0.29*0.23*U50</f>
        <v>0</v>
      </c>
    </row>
    <row r="51" spans="1:24" s="129" customFormat="1" ht="15.9" customHeight="1">
      <c r="A51" s="133" t="s">
        <v>654</v>
      </c>
      <c r="B51" s="133" t="s">
        <v>654</v>
      </c>
      <c r="C51" s="133">
        <v>8</v>
      </c>
      <c r="D51" s="270"/>
      <c r="E51" s="270"/>
      <c r="F51" s="273"/>
      <c r="G51" s="133">
        <v>8</v>
      </c>
      <c r="H51" s="133">
        <f>G51</f>
        <v>8</v>
      </c>
      <c r="I51" s="264">
        <v>9477041</v>
      </c>
      <c r="J51" s="265"/>
      <c r="K51" s="266"/>
      <c r="L51" s="130"/>
      <c r="M51" s="134"/>
      <c r="N51" s="134"/>
      <c r="O51" s="134"/>
      <c r="P51" s="267"/>
      <c r="Q51" s="267"/>
      <c r="R51" s="267"/>
      <c r="S51" s="267"/>
      <c r="T51" s="160" t="s">
        <v>658</v>
      </c>
      <c r="U51" s="131"/>
      <c r="V51" s="163">
        <f>0.59*0.29*0.37*U51</f>
        <v>0</v>
      </c>
    </row>
    <row r="52" spans="1:24" s="129" customFormat="1" ht="15.9" customHeight="1">
      <c r="A52" s="133" t="s">
        <v>654</v>
      </c>
      <c r="B52" s="133" t="s">
        <v>654</v>
      </c>
      <c r="C52" s="133">
        <v>10</v>
      </c>
      <c r="D52" s="270"/>
      <c r="E52" s="270"/>
      <c r="F52" s="273"/>
      <c r="G52" s="133">
        <v>20</v>
      </c>
      <c r="H52" s="133">
        <f>G52</f>
        <v>20</v>
      </c>
      <c r="I52" s="264">
        <v>9477039</v>
      </c>
      <c r="J52" s="265"/>
      <c r="K52" s="266"/>
      <c r="L52" s="130"/>
      <c r="M52" s="134"/>
      <c r="N52" s="134"/>
      <c r="O52" s="134"/>
      <c r="P52" s="267"/>
      <c r="Q52" s="267"/>
      <c r="R52" s="267"/>
      <c r="S52" s="267"/>
      <c r="T52" s="160" t="s">
        <v>659</v>
      </c>
      <c r="U52" s="131"/>
      <c r="V52" s="163">
        <f>0.59*0.29*0.29*U52</f>
        <v>0</v>
      </c>
    </row>
    <row r="53" spans="1:24" s="129" customFormat="1" ht="15.9" customHeight="1">
      <c r="A53" s="133" t="s">
        <v>654</v>
      </c>
      <c r="B53" s="133" t="s">
        <v>654</v>
      </c>
      <c r="C53" s="133">
        <v>18</v>
      </c>
      <c r="D53" s="270"/>
      <c r="E53" s="270"/>
      <c r="F53" s="273"/>
      <c r="G53" s="133">
        <v>35</v>
      </c>
      <c r="H53" s="133">
        <f>G53</f>
        <v>35</v>
      </c>
      <c r="I53" s="264">
        <v>9477038</v>
      </c>
      <c r="J53" s="265"/>
      <c r="K53" s="266"/>
      <c r="L53" s="130"/>
      <c r="M53" s="134"/>
      <c r="N53" s="126"/>
      <c r="O53" s="134"/>
      <c r="P53" s="267"/>
      <c r="Q53" s="267"/>
      <c r="R53" s="267"/>
      <c r="S53" s="267"/>
    </row>
    <row r="54" spans="1:24" s="129" customFormat="1" ht="15.9" customHeight="1">
      <c r="A54" s="133" t="s">
        <v>654</v>
      </c>
      <c r="B54" s="133" t="s">
        <v>654</v>
      </c>
      <c r="C54" s="133">
        <v>20</v>
      </c>
      <c r="D54" s="270"/>
      <c r="E54" s="270"/>
      <c r="F54" s="273"/>
      <c r="G54" s="133">
        <v>10</v>
      </c>
      <c r="H54" s="133">
        <f>G54</f>
        <v>10</v>
      </c>
      <c r="I54" s="264">
        <v>9477040</v>
      </c>
      <c r="J54" s="265"/>
      <c r="K54" s="266"/>
      <c r="L54" s="130"/>
      <c r="M54" s="134"/>
      <c r="N54" s="126"/>
      <c r="O54" s="134"/>
      <c r="P54" s="267"/>
      <c r="Q54" s="267"/>
      <c r="R54" s="267"/>
      <c r="S54" s="267"/>
      <c r="T54" s="164"/>
      <c r="U54" s="126"/>
      <c r="V54" s="127"/>
    </row>
    <row r="55" spans="1:24" s="129" customFormat="1" ht="15.9" customHeight="1">
      <c r="A55" s="133" t="s">
        <v>654</v>
      </c>
      <c r="B55" s="133" t="s">
        <v>654</v>
      </c>
      <c r="C55" s="133">
        <v>22</v>
      </c>
      <c r="D55" s="271"/>
      <c r="E55" s="271"/>
      <c r="F55" s="274"/>
      <c r="G55" s="133">
        <v>5</v>
      </c>
      <c r="H55" s="133">
        <f>G55</f>
        <v>5</v>
      </c>
      <c r="I55" s="264">
        <v>9477043</v>
      </c>
      <c r="J55" s="265"/>
      <c r="K55" s="266"/>
      <c r="L55" s="130"/>
      <c r="M55" s="134"/>
      <c r="N55" s="126"/>
      <c r="O55" s="134"/>
      <c r="P55" s="267"/>
      <c r="Q55" s="267"/>
      <c r="R55" s="268"/>
      <c r="S55" s="268"/>
      <c r="T55" s="164"/>
      <c r="U55" s="126"/>
      <c r="V55" s="127"/>
    </row>
    <row r="56" spans="1:24" s="129" customFormat="1" ht="15.9" customHeight="1">
      <c r="A56" s="131" t="s">
        <v>660</v>
      </c>
      <c r="B56" s="131"/>
      <c r="C56" s="131" t="s">
        <v>661</v>
      </c>
      <c r="D56" s="131"/>
      <c r="E56" s="131"/>
      <c r="F56" s="131">
        <f>SUM(F47:F55)</f>
        <v>3</v>
      </c>
      <c r="G56" s="133"/>
      <c r="H56" s="131">
        <f>SUM(H47:H55)</f>
        <v>251</v>
      </c>
      <c r="I56" s="264" t="s">
        <v>662</v>
      </c>
      <c r="J56" s="265"/>
      <c r="K56" s="266"/>
      <c r="L56" s="130"/>
      <c r="M56" s="126"/>
      <c r="N56" s="126"/>
      <c r="P56" s="165"/>
      <c r="Q56" s="165"/>
      <c r="R56" s="166">
        <f>SUM(R47:R55)</f>
        <v>24.25</v>
      </c>
      <c r="S56" s="166">
        <f>SUM(S47:S55)</f>
        <v>27.4</v>
      </c>
    </row>
    <row r="57" spans="1:24" s="129" customFormat="1" ht="15.9" customHeight="1">
      <c r="A57" s="126"/>
      <c r="B57" s="135" t="s">
        <v>663</v>
      </c>
      <c r="C57" s="127">
        <f>R56</f>
        <v>24.25</v>
      </c>
      <c r="D57" s="128" t="s">
        <v>19</v>
      </c>
      <c r="E57" s="128"/>
      <c r="F57" s="135" t="s">
        <v>664</v>
      </c>
      <c r="G57" s="127">
        <f>S56</f>
        <v>27.4</v>
      </c>
      <c r="H57" s="128" t="s">
        <v>19</v>
      </c>
      <c r="I57" s="136" t="s">
        <v>619</v>
      </c>
      <c r="J57" s="137">
        <f>Y48</f>
        <v>9.7526999999999989E-2</v>
      </c>
      <c r="K57" s="138"/>
      <c r="L57" s="130"/>
      <c r="M57" s="126"/>
      <c r="N57" s="126"/>
      <c r="P57" s="139"/>
      <c r="Q57" s="139"/>
      <c r="R57" s="139"/>
      <c r="S57" s="139"/>
      <c r="T57" s="140"/>
      <c r="U57" s="140"/>
      <c r="V57" s="140"/>
      <c r="W57" s="140" t="s">
        <v>665</v>
      </c>
      <c r="X57" s="140"/>
    </row>
    <row r="58" spans="1:24" s="129" customFormat="1" ht="12.15" customHeight="1">
      <c r="A58" s="125"/>
      <c r="B58" s="126"/>
      <c r="C58" s="127"/>
      <c r="D58" s="128"/>
      <c r="E58" s="126"/>
      <c r="F58" s="126"/>
      <c r="G58" s="126"/>
      <c r="H58" s="127"/>
      <c r="I58" s="127"/>
      <c r="J58" s="127"/>
      <c r="K58" s="127"/>
      <c r="L58" s="126"/>
    </row>
    <row r="59" spans="1:24" s="129" customFormat="1" ht="12.15" customHeight="1">
      <c r="A59" s="125"/>
      <c r="B59" s="126"/>
      <c r="C59" s="127"/>
      <c r="D59" s="128"/>
      <c r="E59" s="126"/>
      <c r="F59" s="126"/>
      <c r="G59" s="126"/>
      <c r="H59" s="127"/>
      <c r="I59" s="127"/>
      <c r="J59" s="127"/>
      <c r="K59" s="127"/>
      <c r="L59" s="126"/>
    </row>
    <row r="60" spans="1:24" s="129" customFormat="1" ht="12.15" customHeight="1">
      <c r="A60" s="125"/>
      <c r="B60" s="126"/>
      <c r="C60" s="127"/>
      <c r="D60" s="128"/>
      <c r="E60" s="126"/>
      <c r="F60" s="126"/>
      <c r="G60" s="126"/>
      <c r="H60" s="127"/>
      <c r="I60" s="127"/>
      <c r="J60" s="127"/>
      <c r="K60" s="127"/>
      <c r="L60" s="126"/>
    </row>
    <row r="61" spans="1:24" ht="12.15" customHeight="1">
      <c r="A61" s="120" t="s">
        <v>613</v>
      </c>
      <c r="B61" s="109"/>
      <c r="C61" s="109"/>
      <c r="D61" s="109"/>
      <c r="E61" s="109"/>
      <c r="F61" s="109"/>
      <c r="G61" s="109"/>
      <c r="H61" s="109"/>
      <c r="I61" s="109"/>
      <c r="J61" s="109"/>
      <c r="K61" s="109"/>
      <c r="L61" s="109"/>
    </row>
    <row r="62" spans="1:24" ht="12.15" customHeight="1">
      <c r="A62" s="120"/>
      <c r="B62" s="109"/>
      <c r="C62" s="109"/>
      <c r="D62" s="109"/>
      <c r="E62" s="109"/>
      <c r="F62" s="109"/>
      <c r="G62" s="109"/>
      <c r="H62" s="109"/>
      <c r="I62" s="109"/>
      <c r="J62" s="109"/>
      <c r="K62" s="109"/>
      <c r="L62" s="109"/>
    </row>
    <row r="63" spans="1:24" ht="12.15" customHeight="1">
      <c r="A63" s="109" t="s">
        <v>20</v>
      </c>
      <c r="B63" s="142">
        <f>H40+H56</f>
        <v>451</v>
      </c>
      <c r="C63" s="143" t="s">
        <v>4</v>
      </c>
      <c r="D63" s="143"/>
      <c r="E63" s="144"/>
      <c r="F63" s="144"/>
      <c r="H63" s="94"/>
      <c r="I63" s="94"/>
      <c r="J63" s="94"/>
      <c r="K63" s="94"/>
    </row>
    <row r="64" spans="1:24" ht="12.15" customHeight="1">
      <c r="A64" s="109" t="s">
        <v>22</v>
      </c>
      <c r="B64" s="142">
        <f>F40+F56</f>
        <v>5</v>
      </c>
      <c r="C64" s="143" t="s">
        <v>18</v>
      </c>
      <c r="D64" s="143"/>
      <c r="E64" s="144"/>
      <c r="F64" s="144"/>
      <c r="H64" s="94"/>
      <c r="I64" s="94"/>
      <c r="J64" s="94"/>
      <c r="K64" s="94"/>
    </row>
    <row r="65" spans="1:6" s="94" customFormat="1" ht="12.15" customHeight="1">
      <c r="A65" s="109" t="s">
        <v>21</v>
      </c>
      <c r="B65" s="145">
        <f>C41+C57</f>
        <v>44.35</v>
      </c>
      <c r="C65" s="143" t="s">
        <v>19</v>
      </c>
      <c r="D65" s="143"/>
      <c r="E65" s="144"/>
    </row>
    <row r="66" spans="1:6" s="94" customFormat="1" ht="15" customHeight="1">
      <c r="A66" s="109" t="s">
        <v>33</v>
      </c>
      <c r="B66" s="145">
        <f>G41+G57</f>
        <v>49.6</v>
      </c>
      <c r="C66" s="143" t="s">
        <v>19</v>
      </c>
      <c r="D66" s="143"/>
      <c r="E66" s="144"/>
      <c r="F66" s="144"/>
    </row>
    <row r="67" spans="1:6" s="94" customFormat="1" ht="15" customHeight="1">
      <c r="A67" s="109" t="s">
        <v>617</v>
      </c>
      <c r="B67" s="145">
        <f>J41+J57</f>
        <v>0.162545</v>
      </c>
      <c r="C67" s="143"/>
      <c r="D67" s="143"/>
      <c r="E67" s="144"/>
      <c r="F67" s="144"/>
    </row>
    <row r="68" spans="1:6" s="129" customFormat="1" ht="16.5" customHeight="1">
      <c r="A68" s="146" t="s">
        <v>551</v>
      </c>
      <c r="C68" s="125"/>
      <c r="D68" s="147">
        <f>U32+U48</f>
        <v>0</v>
      </c>
      <c r="E68" s="126"/>
      <c r="F68" s="126"/>
    </row>
    <row r="69" spans="1:6" s="129" customFormat="1" ht="16.5" customHeight="1">
      <c r="A69" s="146" t="s">
        <v>625</v>
      </c>
      <c r="C69" s="125"/>
      <c r="D69" s="147">
        <f>U33+U49</f>
        <v>5</v>
      </c>
      <c r="E69" s="126"/>
      <c r="F69" s="126"/>
    </row>
    <row r="70" spans="1:6" s="129" customFormat="1" ht="16.5" customHeight="1">
      <c r="A70" s="146" t="s">
        <v>630</v>
      </c>
      <c r="C70" s="125"/>
      <c r="D70" s="147">
        <f>U34+U50</f>
        <v>0</v>
      </c>
      <c r="E70" s="126"/>
      <c r="F70" s="126"/>
    </row>
    <row r="71" spans="1:6" s="129" customFormat="1" ht="16.5" customHeight="1">
      <c r="A71" s="146" t="s">
        <v>631</v>
      </c>
      <c r="C71" s="125"/>
      <c r="D71" s="147"/>
      <c r="E71" s="126"/>
      <c r="F71" s="126"/>
    </row>
    <row r="72" spans="1:6" s="94" customFormat="1" ht="12.15" customHeight="1">
      <c r="A72" s="120"/>
      <c r="C72" s="143"/>
      <c r="D72" s="143"/>
      <c r="E72" s="144"/>
      <c r="F72" s="144"/>
    </row>
    <row r="73" spans="1:6" s="94" customFormat="1" ht="12.15" customHeight="1">
      <c r="A73" s="120"/>
      <c r="C73" s="143"/>
      <c r="D73" s="143"/>
      <c r="E73" s="144"/>
      <c r="F73" s="144"/>
    </row>
    <row r="74" spans="1:6" s="94" customFormat="1" ht="12.15" customHeight="1">
      <c r="A74" s="109"/>
      <c r="C74" s="143"/>
      <c r="D74" s="143"/>
      <c r="E74" s="144"/>
      <c r="F74" s="144"/>
    </row>
    <row r="75" spans="1:6" s="94" customFormat="1" ht="12.15" customHeight="1">
      <c r="A75" s="109"/>
      <c r="C75" s="143"/>
      <c r="D75" s="143"/>
      <c r="E75" s="144"/>
      <c r="F75" s="144"/>
    </row>
    <row r="76" spans="1:6" s="94" customFormat="1" ht="12.15" customHeight="1">
      <c r="A76" s="148" t="s">
        <v>16</v>
      </c>
      <c r="C76" s="143"/>
      <c r="D76" s="143"/>
      <c r="E76" s="144"/>
      <c r="F76" s="144"/>
    </row>
    <row r="77" spans="1:6" s="94" customFormat="1" ht="12.15" customHeight="1">
      <c r="A77" s="148"/>
      <c r="C77" s="143"/>
      <c r="D77" s="143"/>
      <c r="E77" s="144"/>
      <c r="F77" s="144"/>
    </row>
  </sheetData>
  <mergeCells count="53">
    <mergeCell ref="D46:E46"/>
    <mergeCell ref="I46:K46"/>
    <mergeCell ref="I47:K47"/>
    <mergeCell ref="D48:D49"/>
    <mergeCell ref="E48:E49"/>
    <mergeCell ref="F48:F49"/>
    <mergeCell ref="I48:K48"/>
    <mergeCell ref="I49:K49"/>
    <mergeCell ref="S50:S55"/>
    <mergeCell ref="I51:K51"/>
    <mergeCell ref="I52:K52"/>
    <mergeCell ref="I53:K53"/>
    <mergeCell ref="I54:K54"/>
    <mergeCell ref="I55:K55"/>
    <mergeCell ref="D50:D55"/>
    <mergeCell ref="E50:E55"/>
    <mergeCell ref="F50:F55"/>
    <mergeCell ref="I50:K50"/>
    <mergeCell ref="P50:P55"/>
    <mergeCell ref="I40:K40"/>
    <mergeCell ref="I56:K56"/>
    <mergeCell ref="R34:R39"/>
    <mergeCell ref="S34:S39"/>
    <mergeCell ref="I35:K35"/>
    <mergeCell ref="I36:K36"/>
    <mergeCell ref="I37:K37"/>
    <mergeCell ref="I38:K38"/>
    <mergeCell ref="I39:K39"/>
    <mergeCell ref="R50:R55"/>
    <mergeCell ref="Q34:Q39"/>
    <mergeCell ref="P48:P49"/>
    <mergeCell ref="Q48:Q49"/>
    <mergeCell ref="R48:R49"/>
    <mergeCell ref="S48:S49"/>
    <mergeCell ref="Q50:Q55"/>
    <mergeCell ref="D34:D39"/>
    <mergeCell ref="E34:E39"/>
    <mergeCell ref="F34:F39"/>
    <mergeCell ref="I34:K34"/>
    <mergeCell ref="P34:P39"/>
    <mergeCell ref="P31:P33"/>
    <mergeCell ref="Q31:Q33"/>
    <mergeCell ref="R31:R33"/>
    <mergeCell ref="S31:S33"/>
    <mergeCell ref="I32:K32"/>
    <mergeCell ref="I33:K33"/>
    <mergeCell ref="A1:L1"/>
    <mergeCell ref="D30:E30"/>
    <mergeCell ref="I30:K30"/>
    <mergeCell ref="D31:D33"/>
    <mergeCell ref="E31:E33"/>
    <mergeCell ref="F31:F33"/>
    <mergeCell ref="I31:K31"/>
  </mergeCells>
  <phoneticPr fontId="2" type="noConversion"/>
  <dataValidations count="1">
    <dataValidation type="list" allowBlank="1" showInputMessage="1" showErrorMessage="1" sqref="Y32 V30:V31 Y48 V46:V47" xr:uid="{B8DDEB6F-A6EF-4563-9A23-A7158C2F588E}">
      <formula1>"SIZE-1,SIZE-A,SIZE-128"</formula1>
    </dataValidation>
  </dataValidations>
  <printOptions horizontalCentered="1"/>
  <pageMargins left="0.15" right="0.15" top="0.75" bottom="0.6" header="0.5" footer="0.21"/>
  <pageSetup paperSize="9" scale="63" fitToHeight="0"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817B9-6845-4F2A-87F3-266D181EF069}">
  <sheetPr>
    <pageSetUpPr fitToPage="1"/>
  </sheetPr>
  <dimension ref="A1:K40"/>
  <sheetViews>
    <sheetView view="pageBreakPreview" topLeftCell="A25" zoomScale="115" zoomScaleNormal="100" zoomScaleSheetLayoutView="115" workbookViewId="0">
      <selection activeCell="F28" sqref="F28"/>
    </sheetView>
  </sheetViews>
  <sheetFormatPr defaultColWidth="9.109375" defaultRowHeight="13.2"/>
  <cols>
    <col min="1" max="6" width="9.109375" style="2"/>
    <col min="7" max="7" width="11.109375" style="2" customWidth="1"/>
    <col min="8" max="8" width="7.44140625" style="2" customWidth="1"/>
    <col min="9" max="9" width="15.6640625" style="2" customWidth="1"/>
    <col min="10" max="10" width="8.6640625" style="2" customWidth="1"/>
    <col min="11" max="11" width="11.33203125" style="2" customWidth="1"/>
    <col min="12" max="12" width="9.109375" style="2" customWidth="1"/>
    <col min="13" max="16384" width="9.109375" style="2"/>
  </cols>
  <sheetData>
    <row r="1" spans="1:11" ht="13.8">
      <c r="A1" s="26"/>
    </row>
    <row r="2" spans="1:11" ht="13.8">
      <c r="A2" s="26"/>
    </row>
    <row r="3" spans="1:11" ht="13.8">
      <c r="A3" s="26"/>
    </row>
    <row r="4" spans="1:11" ht="13.8">
      <c r="A4" s="27"/>
    </row>
    <row r="5" spans="1:11" ht="9.75" customHeight="1">
      <c r="A5" s="28"/>
    </row>
    <row r="6" spans="1:11" ht="9" customHeight="1">
      <c r="A6" s="28"/>
    </row>
    <row r="7" spans="1:11" ht="21">
      <c r="B7" s="31" t="s">
        <v>577</v>
      </c>
    </row>
    <row r="8" spans="1:11" ht="21">
      <c r="B8" s="31"/>
    </row>
    <row r="9" spans="1:11" ht="12" customHeight="1">
      <c r="A9" s="32"/>
    </row>
    <row r="10" spans="1:11" s="29" customFormat="1" ht="24" customHeight="1">
      <c r="A10" s="32" t="s">
        <v>578</v>
      </c>
    </row>
    <row r="11" spans="1:11" s="29" customFormat="1" ht="24.75" customHeight="1">
      <c r="A11" s="34" t="s">
        <v>579</v>
      </c>
      <c r="B11" s="43"/>
      <c r="C11" s="43"/>
      <c r="D11" s="49" t="s">
        <v>553</v>
      </c>
      <c r="E11" s="49"/>
      <c r="F11" s="49"/>
      <c r="G11" s="43" t="s">
        <v>583</v>
      </c>
      <c r="H11" s="43"/>
      <c r="I11" s="49"/>
      <c r="J11" s="57"/>
      <c r="K11" s="58"/>
    </row>
    <row r="12" spans="1:11" s="29" customFormat="1" ht="24.75" customHeight="1">
      <c r="A12" s="35" t="s">
        <v>580</v>
      </c>
      <c r="B12" s="44"/>
      <c r="C12" s="44"/>
      <c r="D12" s="50" t="s">
        <v>582</v>
      </c>
      <c r="E12" s="51"/>
      <c r="F12" s="52"/>
      <c r="G12" s="55"/>
      <c r="H12" s="52"/>
      <c r="I12" s="52"/>
      <c r="J12" s="53"/>
      <c r="K12" s="56"/>
    </row>
    <row r="13" spans="1:11" s="29" customFormat="1" ht="24.75" customHeight="1">
      <c r="A13" s="37" t="s">
        <v>581</v>
      </c>
      <c r="B13" s="44"/>
      <c r="C13" s="44"/>
      <c r="D13" s="52" t="s">
        <v>554</v>
      </c>
      <c r="E13" s="52"/>
      <c r="F13" s="52"/>
      <c r="G13" s="36" t="s">
        <v>584</v>
      </c>
      <c r="H13" s="44"/>
      <c r="I13" s="44"/>
      <c r="J13" s="45"/>
      <c r="K13" s="46"/>
    </row>
    <row r="14" spans="1:11" s="29" customFormat="1" ht="24.75" customHeight="1">
      <c r="A14" s="37" t="s">
        <v>555</v>
      </c>
      <c r="B14" s="44"/>
      <c r="C14" s="44"/>
      <c r="D14" s="52" t="s">
        <v>556</v>
      </c>
      <c r="E14" s="52"/>
      <c r="F14" s="52"/>
      <c r="G14" s="38"/>
      <c r="H14" s="36"/>
      <c r="I14" s="44"/>
      <c r="J14" s="45"/>
      <c r="K14" s="46"/>
    </row>
    <row r="15" spans="1:11" s="29" customFormat="1" ht="24.75" customHeight="1">
      <c r="A15" s="33" t="s">
        <v>557</v>
      </c>
      <c r="B15" s="45"/>
      <c r="C15" s="45"/>
      <c r="D15" s="53" t="s">
        <v>558</v>
      </c>
      <c r="E15" s="53"/>
      <c r="F15" s="53"/>
      <c r="G15" s="45"/>
      <c r="H15" s="45"/>
      <c r="I15" s="45"/>
      <c r="J15" s="45"/>
      <c r="K15" s="46"/>
    </row>
    <row r="16" spans="1:11" s="29" customFormat="1" ht="24.75" customHeight="1">
      <c r="A16" s="39" t="s">
        <v>559</v>
      </c>
      <c r="B16" s="47"/>
      <c r="C16" s="47"/>
      <c r="D16" s="54" t="s">
        <v>560</v>
      </c>
      <c r="E16" s="54"/>
      <c r="F16" s="54"/>
      <c r="G16" s="47"/>
      <c r="H16" s="40"/>
      <c r="I16" s="40"/>
      <c r="J16" s="41"/>
      <c r="K16" s="48"/>
    </row>
    <row r="17" spans="1:11" s="29" customFormat="1" ht="24" customHeight="1">
      <c r="A17" s="59"/>
      <c r="B17" s="60"/>
      <c r="C17" s="60"/>
      <c r="D17" s="60"/>
      <c r="E17" s="60"/>
      <c r="F17" s="60"/>
      <c r="G17" s="60"/>
      <c r="H17" s="60"/>
      <c r="I17" s="60"/>
      <c r="J17" s="60"/>
      <c r="K17" s="61"/>
    </row>
    <row r="18" spans="1:11" ht="24" customHeight="1">
      <c r="A18" s="62"/>
      <c r="B18" s="63"/>
      <c r="C18" s="63"/>
      <c r="D18" s="63"/>
      <c r="E18" s="63"/>
      <c r="F18" s="63"/>
      <c r="G18" s="63"/>
      <c r="H18" s="63"/>
      <c r="I18" s="63"/>
      <c r="J18" s="63"/>
      <c r="K18" s="64"/>
    </row>
    <row r="19" spans="1:11" s="30" customFormat="1" ht="20.25" customHeight="1">
      <c r="A19" s="66" t="s">
        <v>561</v>
      </c>
      <c r="B19" s="67"/>
      <c r="C19" s="67"/>
      <c r="D19" s="49" t="s">
        <v>562</v>
      </c>
      <c r="E19" s="49"/>
      <c r="F19" s="49"/>
      <c r="G19" s="67"/>
      <c r="H19" s="67"/>
      <c r="I19" s="67"/>
      <c r="J19" s="67"/>
      <c r="K19" s="68"/>
    </row>
    <row r="20" spans="1:11" s="30" customFormat="1" ht="20.25" customHeight="1">
      <c r="A20" s="69" t="s">
        <v>586</v>
      </c>
      <c r="D20" s="52" t="str">
        <f>Invoice!B2</f>
        <v>106725</v>
      </c>
      <c r="E20" s="51"/>
      <c r="F20" s="52"/>
      <c r="G20" s="42" t="s">
        <v>564</v>
      </c>
      <c r="I20" s="52"/>
      <c r="J20" s="52"/>
      <c r="K20" s="52"/>
    </row>
    <row r="21" spans="1:11" ht="20.25" customHeight="1">
      <c r="A21" s="69" t="s">
        <v>563</v>
      </c>
      <c r="D21" s="52"/>
      <c r="E21" s="52"/>
      <c r="F21" s="52"/>
      <c r="G21" s="42" t="s">
        <v>565</v>
      </c>
      <c r="I21" s="52"/>
      <c r="J21" s="52"/>
      <c r="K21" s="52"/>
    </row>
    <row r="22" spans="1:11" ht="20.25" customHeight="1">
      <c r="A22" s="70" t="s">
        <v>566</v>
      </c>
      <c r="D22" s="52"/>
      <c r="E22" s="52"/>
      <c r="F22" s="52"/>
      <c r="G22" s="42" t="s">
        <v>567</v>
      </c>
      <c r="I22" s="53"/>
      <c r="J22" s="53"/>
      <c r="K22" s="53"/>
    </row>
    <row r="23" spans="1:11" ht="20.25" customHeight="1">
      <c r="A23" s="69" t="s">
        <v>568</v>
      </c>
      <c r="D23" s="53"/>
      <c r="E23" s="53"/>
      <c r="F23" s="53"/>
      <c r="G23" s="42" t="s">
        <v>569</v>
      </c>
      <c r="I23" s="52"/>
      <c r="J23" s="52"/>
      <c r="K23" s="52"/>
    </row>
    <row r="24" spans="1:11" ht="20.25" customHeight="1">
      <c r="A24" s="71" t="s">
        <v>570</v>
      </c>
      <c r="B24" s="72"/>
      <c r="C24" s="72"/>
      <c r="D24" s="54"/>
      <c r="E24" s="54"/>
      <c r="F24" s="54"/>
      <c r="G24" s="73" t="s">
        <v>571</v>
      </c>
      <c r="H24" s="72"/>
      <c r="I24" s="54"/>
      <c r="J24" s="54"/>
      <c r="K24" s="54"/>
    </row>
    <row r="25" spans="1:11" ht="27" customHeight="1">
      <c r="A25" s="74"/>
      <c r="B25" s="75"/>
      <c r="C25" s="75"/>
      <c r="D25" s="75"/>
      <c r="E25" s="75"/>
      <c r="F25" s="75"/>
      <c r="G25" s="75"/>
      <c r="H25" s="75"/>
      <c r="I25" s="75"/>
      <c r="J25" s="75"/>
      <c r="K25" s="76"/>
    </row>
    <row r="26" spans="1:11" ht="21.75" customHeight="1">
      <c r="A26" s="78" t="s">
        <v>572</v>
      </c>
      <c r="B26" s="79"/>
      <c r="C26" s="79"/>
      <c r="D26" s="49"/>
      <c r="E26" s="49"/>
      <c r="F26" s="49"/>
      <c r="G26" s="295" t="s">
        <v>573</v>
      </c>
      <c r="H26" s="295"/>
      <c r="I26" s="295"/>
      <c r="J26" s="295"/>
      <c r="K26" s="296"/>
    </row>
    <row r="27" spans="1:11" ht="21.75" customHeight="1">
      <c r="A27" s="80" t="s">
        <v>587</v>
      </c>
      <c r="B27" s="65"/>
      <c r="C27" s="65"/>
      <c r="D27" s="87">
        <f>Invoice!C39</f>
        <v>5</v>
      </c>
      <c r="E27" s="51" t="s">
        <v>589</v>
      </c>
      <c r="F27" s="52"/>
      <c r="G27" s="81" t="s">
        <v>588</v>
      </c>
      <c r="H27" s="65"/>
      <c r="I27" s="88">
        <f>Invoice!C41</f>
        <v>49.6</v>
      </c>
      <c r="J27" s="89" t="s">
        <v>590</v>
      </c>
      <c r="K27" s="82"/>
    </row>
    <row r="28" spans="1:11" ht="21.75" customHeight="1">
      <c r="A28" s="83" t="s">
        <v>574</v>
      </c>
      <c r="B28" s="84"/>
      <c r="C28" s="84"/>
      <c r="D28" s="85" t="s">
        <v>585</v>
      </c>
      <c r="E28" s="54"/>
      <c r="F28" s="54"/>
      <c r="G28" s="54"/>
      <c r="H28" s="54"/>
      <c r="I28" s="54"/>
      <c r="J28" s="54"/>
      <c r="K28" s="86"/>
    </row>
    <row r="29" spans="1:11" ht="17.25" customHeight="1">
      <c r="A29" s="77"/>
      <c r="B29" s="65"/>
      <c r="C29" s="65"/>
      <c r="D29" s="65"/>
      <c r="E29" s="65"/>
      <c r="F29" s="65"/>
      <c r="G29" s="65"/>
      <c r="H29" s="65"/>
      <c r="I29" s="65"/>
      <c r="J29" s="65"/>
      <c r="K29" s="65"/>
    </row>
    <row r="30" spans="1:11" ht="12.75" customHeight="1">
      <c r="A30" s="297" t="s">
        <v>575</v>
      </c>
      <c r="B30" s="297"/>
      <c r="C30" s="297"/>
      <c r="D30" s="297"/>
      <c r="E30" s="297"/>
      <c r="F30" s="297"/>
      <c r="G30" s="297"/>
      <c r="H30" s="297"/>
      <c r="I30" s="297"/>
      <c r="J30" s="297"/>
      <c r="K30" s="297"/>
    </row>
    <row r="31" spans="1:11" ht="12.75" customHeight="1">
      <c r="A31" s="297"/>
      <c r="B31" s="297"/>
      <c r="C31" s="297"/>
      <c r="D31" s="297"/>
      <c r="E31" s="297"/>
      <c r="F31" s="297"/>
      <c r="G31" s="297"/>
      <c r="H31" s="297"/>
      <c r="I31" s="297"/>
      <c r="J31" s="297"/>
      <c r="K31" s="297"/>
    </row>
    <row r="32" spans="1:11" ht="12.75" customHeight="1">
      <c r="A32" s="297"/>
      <c r="B32" s="297"/>
      <c r="C32" s="297"/>
      <c r="D32" s="297"/>
      <c r="E32" s="297"/>
      <c r="F32" s="297"/>
      <c r="G32" s="297"/>
      <c r="H32" s="297"/>
      <c r="I32" s="297"/>
      <c r="J32" s="297"/>
      <c r="K32" s="297"/>
    </row>
    <row r="33" spans="1:11" ht="12.75" customHeight="1">
      <c r="A33" s="297"/>
      <c r="B33" s="297"/>
      <c r="C33" s="297"/>
      <c r="D33" s="297"/>
      <c r="E33" s="297"/>
      <c r="F33" s="297"/>
      <c r="G33" s="297"/>
      <c r="H33" s="297"/>
      <c r="I33" s="297"/>
      <c r="J33" s="297"/>
      <c r="K33" s="297"/>
    </row>
    <row r="34" spans="1:11" ht="12.75" customHeight="1">
      <c r="A34" s="297"/>
      <c r="B34" s="297"/>
      <c r="C34" s="297"/>
      <c r="D34" s="297"/>
      <c r="E34" s="297"/>
      <c r="F34" s="297"/>
      <c r="G34" s="297"/>
      <c r="H34" s="297"/>
      <c r="I34" s="297"/>
      <c r="J34" s="297"/>
      <c r="K34" s="297"/>
    </row>
    <row r="35" spans="1:11" ht="12.75" customHeight="1">
      <c r="A35" s="297" t="s">
        <v>576</v>
      </c>
      <c r="B35" s="297"/>
      <c r="C35" s="297"/>
      <c r="D35" s="297"/>
      <c r="E35" s="297"/>
      <c r="F35" s="297"/>
      <c r="G35" s="297"/>
      <c r="H35" s="297"/>
      <c r="I35" s="297"/>
      <c r="J35" s="297"/>
      <c r="K35" s="297"/>
    </row>
    <row r="36" spans="1:11" ht="9.75" customHeight="1">
      <c r="A36" s="297"/>
      <c r="B36" s="297"/>
      <c r="C36" s="297"/>
      <c r="D36" s="297"/>
      <c r="E36" s="297"/>
      <c r="F36" s="297"/>
      <c r="G36" s="297"/>
      <c r="H36" s="297"/>
      <c r="I36" s="297"/>
      <c r="J36" s="297"/>
      <c r="K36" s="297"/>
    </row>
    <row r="37" spans="1:11">
      <c r="A37" s="297"/>
      <c r="B37" s="297"/>
      <c r="C37" s="297"/>
      <c r="D37" s="297"/>
      <c r="E37" s="297"/>
      <c r="F37" s="297"/>
      <c r="G37" s="297"/>
      <c r="H37" s="297"/>
      <c r="I37" s="297"/>
      <c r="J37" s="297"/>
      <c r="K37" s="297"/>
    </row>
    <row r="38" spans="1:11">
      <c r="A38" s="297"/>
      <c r="B38" s="297"/>
      <c r="C38" s="297"/>
      <c r="D38" s="297"/>
      <c r="E38" s="297"/>
      <c r="F38" s="297"/>
      <c r="G38" s="297"/>
      <c r="H38" s="297"/>
      <c r="I38" s="297"/>
      <c r="J38" s="297"/>
      <c r="K38" s="297"/>
    </row>
    <row r="39" spans="1:11">
      <c r="A39" s="297"/>
      <c r="B39" s="297"/>
      <c r="C39" s="297"/>
      <c r="D39" s="297"/>
      <c r="E39" s="297"/>
      <c r="F39" s="297"/>
      <c r="G39" s="297"/>
      <c r="H39" s="297"/>
      <c r="I39" s="297"/>
      <c r="J39" s="297"/>
      <c r="K39" s="297"/>
    </row>
    <row r="40" spans="1:11">
      <c r="A40" s="297"/>
      <c r="B40" s="297"/>
      <c r="C40" s="297"/>
      <c r="D40" s="297"/>
      <c r="E40" s="297"/>
      <c r="F40" s="297"/>
      <c r="G40" s="297"/>
      <c r="H40" s="297"/>
      <c r="I40" s="297"/>
      <c r="J40" s="297"/>
      <c r="K40" s="297"/>
    </row>
  </sheetData>
  <mergeCells count="3">
    <mergeCell ref="G26:K26"/>
    <mergeCell ref="A30:K34"/>
    <mergeCell ref="A35:K40"/>
  </mergeCells>
  <printOptions horizontalCentered="1"/>
  <pageMargins left="0.45" right="0.45" top="0.5" bottom="0.5" header="0.3" footer="0.3"/>
  <pageSetup scale="90" orientation="portrait" horizontalDpi="4294967295" verticalDpi="4294967295"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3EE82-5EEA-4988-B678-2A846136AA95}">
  <dimension ref="B2:C12"/>
  <sheetViews>
    <sheetView workbookViewId="0">
      <selection activeCell="C16" sqref="C16"/>
    </sheetView>
  </sheetViews>
  <sheetFormatPr defaultColWidth="9.109375" defaultRowHeight="13.2"/>
  <cols>
    <col min="1" max="1" width="6.6640625" style="2" customWidth="1"/>
    <col min="2" max="2" width="46.44140625" style="2" customWidth="1"/>
    <col min="3" max="3" width="65.5546875" style="2" customWidth="1"/>
    <col min="4" max="16384" width="9.109375" style="2"/>
  </cols>
  <sheetData>
    <row r="2" spans="2:3">
      <c r="B2" s="90" t="s">
        <v>606</v>
      </c>
      <c r="C2" s="90" t="s">
        <v>607</v>
      </c>
    </row>
    <row r="3" spans="2:3" ht="69.75" customHeight="1">
      <c r="B3" s="91" t="s">
        <v>614</v>
      </c>
      <c r="C3" s="91" t="s">
        <v>593</v>
      </c>
    </row>
    <row r="4" spans="2:3">
      <c r="B4" s="92"/>
      <c r="C4" s="92"/>
    </row>
    <row r="5" spans="2:3">
      <c r="B5" s="90" t="s">
        <v>608</v>
      </c>
      <c r="C5" s="90" t="s">
        <v>609</v>
      </c>
    </row>
    <row r="6" spans="2:3" ht="67.5" customHeight="1">
      <c r="B6" s="91" t="s">
        <v>616</v>
      </c>
      <c r="C6" s="91" t="s">
        <v>594</v>
      </c>
    </row>
    <row r="8" spans="2:3">
      <c r="B8" s="90" t="s">
        <v>610</v>
      </c>
      <c r="C8" s="90" t="s">
        <v>611</v>
      </c>
    </row>
    <row r="9" spans="2:3" ht="138.6">
      <c r="B9" s="91" t="s">
        <v>595</v>
      </c>
      <c r="C9" s="91" t="s">
        <v>620</v>
      </c>
    </row>
    <row r="12" spans="2:3">
      <c r="B12" s="93"/>
    </row>
  </sheetData>
  <pageMargins left="0.7" right="0.7" top="0.75" bottom="0.75" header="0.3" footer="0.3"/>
  <pageSetup orientation="portrait" verticalDpi="4294967295"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E39AF-4221-4A1D-953A-D9A2B9AED467}">
  <sheetPr>
    <pageSetUpPr fitToPage="1"/>
  </sheetPr>
  <dimension ref="A1:L124"/>
  <sheetViews>
    <sheetView topLeftCell="A91" workbookViewId="0">
      <selection activeCell="B108" sqref="B108:L108"/>
    </sheetView>
  </sheetViews>
  <sheetFormatPr defaultColWidth="9.109375" defaultRowHeight="13.2"/>
  <cols>
    <col min="1" max="4" width="8.88671875" style="2" customWidth="1"/>
    <col min="5" max="5" width="9.6640625" style="2" customWidth="1"/>
    <col min="6" max="6" width="8.88671875" style="2" customWidth="1"/>
    <col min="7" max="16384" width="9.109375" style="2"/>
  </cols>
  <sheetData>
    <row r="1" spans="1:12" ht="13.8">
      <c r="A1" s="1"/>
      <c r="B1" s="1"/>
      <c r="C1" s="1"/>
      <c r="D1" s="1"/>
      <c r="E1" s="1"/>
      <c r="F1" s="298" t="e">
        <f>Invoice!#REF!</f>
        <v>#REF!</v>
      </c>
      <c r="G1" s="298"/>
      <c r="H1" s="1"/>
      <c r="I1" s="1"/>
      <c r="J1" s="1"/>
      <c r="K1" s="1"/>
      <c r="L1" s="1"/>
    </row>
    <row r="2" spans="1:12">
      <c r="A2" s="3"/>
      <c r="B2" s="3"/>
      <c r="C2" s="4"/>
      <c r="D2" s="4"/>
      <c r="E2" s="4"/>
      <c r="F2" s="4"/>
      <c r="G2" s="4"/>
      <c r="H2" s="4"/>
      <c r="I2" s="4"/>
      <c r="J2" s="4"/>
      <c r="K2" s="4"/>
      <c r="L2" s="5"/>
    </row>
    <row r="3" spans="1:12">
      <c r="A3" s="299" t="s">
        <v>35</v>
      </c>
      <c r="B3" s="300"/>
      <c r="C3" s="300"/>
      <c r="D3" s="300"/>
      <c r="E3" s="300"/>
      <c r="F3" s="301"/>
      <c r="G3" s="3"/>
      <c r="H3" s="3"/>
      <c r="I3" s="3"/>
      <c r="J3" s="3"/>
      <c r="K3" s="3"/>
      <c r="L3" s="3"/>
    </row>
    <row r="4" spans="1:12">
      <c r="A4" s="6" t="s">
        <v>36</v>
      </c>
      <c r="B4" s="7" t="s">
        <v>37</v>
      </c>
      <c r="C4" s="7" t="s">
        <v>38</v>
      </c>
      <c r="D4" s="8" t="s">
        <v>39</v>
      </c>
      <c r="E4" s="9" t="s">
        <v>40</v>
      </c>
      <c r="F4" s="9" t="s">
        <v>41</v>
      </c>
      <c r="G4" s="3"/>
      <c r="H4" s="3"/>
      <c r="I4" s="3"/>
      <c r="J4" s="3"/>
      <c r="K4" s="3"/>
      <c r="L4" s="3"/>
    </row>
    <row r="5" spans="1:12">
      <c r="A5" s="10">
        <v>0</v>
      </c>
      <c r="B5" s="7" t="s">
        <v>34</v>
      </c>
      <c r="C5" s="7" t="s">
        <v>34</v>
      </c>
      <c r="D5" s="8" t="s">
        <v>34</v>
      </c>
      <c r="E5" s="9" t="s">
        <v>34</v>
      </c>
      <c r="F5" s="9"/>
      <c r="G5" s="3"/>
      <c r="H5" s="3"/>
      <c r="I5" s="3"/>
      <c r="J5" s="3"/>
      <c r="K5" s="3"/>
      <c r="L5" s="3"/>
    </row>
    <row r="6" spans="1:12">
      <c r="A6" s="10">
        <v>1</v>
      </c>
      <c r="B6" s="7" t="s">
        <v>42</v>
      </c>
      <c r="C6" s="7" t="s">
        <v>43</v>
      </c>
      <c r="D6" s="8" t="s">
        <v>44</v>
      </c>
      <c r="E6" s="9" t="s">
        <v>45</v>
      </c>
      <c r="F6" s="9" t="s">
        <v>46</v>
      </c>
      <c r="G6" s="3"/>
      <c r="H6" s="3"/>
      <c r="I6" s="3"/>
      <c r="J6" s="3"/>
      <c r="K6" s="3"/>
      <c r="L6" s="3"/>
    </row>
    <row r="7" spans="1:12">
      <c r="A7" s="6">
        <v>2</v>
      </c>
      <c r="B7" s="7" t="s">
        <v>47</v>
      </c>
      <c r="C7" s="7" t="s">
        <v>48</v>
      </c>
      <c r="D7" s="8" t="s">
        <v>49</v>
      </c>
      <c r="E7" s="9" t="s">
        <v>50</v>
      </c>
      <c r="F7" s="9" t="s">
        <v>51</v>
      </c>
      <c r="G7" s="3"/>
      <c r="H7" s="4" t="s">
        <v>52</v>
      </c>
      <c r="I7" s="3"/>
      <c r="J7" s="3"/>
      <c r="K7" s="3"/>
      <c r="L7" s="3"/>
    </row>
    <row r="8" spans="1:12">
      <c r="A8" s="6">
        <v>3</v>
      </c>
      <c r="B8" s="7" t="s">
        <v>53</v>
      </c>
      <c r="C8" s="7" t="s">
        <v>54</v>
      </c>
      <c r="D8" s="8" t="s">
        <v>55</v>
      </c>
      <c r="E8" s="9" t="s">
        <v>56</v>
      </c>
      <c r="F8" s="9" t="s">
        <v>57</v>
      </c>
      <c r="G8" s="3"/>
      <c r="H8" s="3"/>
      <c r="I8" s="3"/>
      <c r="J8" s="3"/>
      <c r="K8" s="3"/>
      <c r="L8" s="3"/>
    </row>
    <row r="9" spans="1:12">
      <c r="A9" s="6">
        <v>4</v>
      </c>
      <c r="B9" s="7" t="s">
        <v>58</v>
      </c>
      <c r="C9" s="7" t="s">
        <v>59</v>
      </c>
      <c r="D9" s="8" t="s">
        <v>60</v>
      </c>
      <c r="E9" s="9" t="s">
        <v>61</v>
      </c>
      <c r="F9" s="9" t="s">
        <v>62</v>
      </c>
      <c r="G9" s="3"/>
      <c r="H9" s="3"/>
      <c r="I9" s="3"/>
      <c r="J9" s="3"/>
      <c r="K9" s="3"/>
      <c r="L9" s="3"/>
    </row>
    <row r="10" spans="1:12">
      <c r="A10" s="6">
        <v>5</v>
      </c>
      <c r="B10" s="7" t="s">
        <v>63</v>
      </c>
      <c r="C10" s="7" t="s">
        <v>64</v>
      </c>
      <c r="D10" s="8" t="s">
        <v>65</v>
      </c>
      <c r="E10" s="9" t="s">
        <v>66</v>
      </c>
      <c r="F10" s="9" t="s">
        <v>67</v>
      </c>
      <c r="G10" s="3"/>
      <c r="H10" s="3"/>
      <c r="I10" s="3"/>
      <c r="J10" s="3"/>
      <c r="K10" s="3"/>
      <c r="L10" s="3"/>
    </row>
    <row r="11" spans="1:12">
      <c r="A11" s="6">
        <v>6</v>
      </c>
      <c r="B11" s="7" t="s">
        <v>68</v>
      </c>
      <c r="C11" s="7" t="s">
        <v>69</v>
      </c>
      <c r="D11" s="8" t="s">
        <v>70</v>
      </c>
      <c r="E11" s="9" t="s">
        <v>71</v>
      </c>
      <c r="F11" s="9" t="s">
        <v>72</v>
      </c>
      <c r="G11" s="3"/>
      <c r="H11" s="3"/>
      <c r="I11" s="3"/>
      <c r="J11" s="3"/>
      <c r="K11" s="3"/>
      <c r="L11" s="3"/>
    </row>
    <row r="12" spans="1:12">
      <c r="A12" s="6">
        <v>7</v>
      </c>
      <c r="B12" s="7" t="s">
        <v>73</v>
      </c>
      <c r="C12" s="7" t="s">
        <v>74</v>
      </c>
      <c r="D12" s="8" t="s">
        <v>75</v>
      </c>
      <c r="E12" s="9" t="s">
        <v>76</v>
      </c>
      <c r="F12" s="9" t="s">
        <v>77</v>
      </c>
      <c r="G12" s="3"/>
      <c r="H12" s="3"/>
      <c r="I12" s="3"/>
      <c r="J12" s="3"/>
      <c r="K12" s="3"/>
      <c r="L12" s="3"/>
    </row>
    <row r="13" spans="1:12">
      <c r="A13" s="6">
        <v>8</v>
      </c>
      <c r="B13" s="7" t="s">
        <v>78</v>
      </c>
      <c r="C13" s="7" t="s">
        <v>79</v>
      </c>
      <c r="D13" s="8" t="s">
        <v>80</v>
      </c>
      <c r="E13" s="9" t="s">
        <v>81</v>
      </c>
      <c r="F13" s="9" t="s">
        <v>82</v>
      </c>
      <c r="G13" s="3"/>
      <c r="H13" s="3"/>
      <c r="I13" s="3"/>
      <c r="J13" s="3"/>
      <c r="K13" s="3"/>
      <c r="L13" s="3"/>
    </row>
    <row r="14" spans="1:12">
      <c r="A14" s="6">
        <v>9</v>
      </c>
      <c r="B14" s="7" t="s">
        <v>83</v>
      </c>
      <c r="C14" s="7" t="s">
        <v>84</v>
      </c>
      <c r="D14" s="8" t="s">
        <v>85</v>
      </c>
      <c r="E14" s="9" t="s">
        <v>86</v>
      </c>
      <c r="F14" s="9" t="s">
        <v>87</v>
      </c>
      <c r="G14" s="3"/>
      <c r="H14" s="3"/>
      <c r="I14" s="3"/>
      <c r="J14" s="3"/>
      <c r="K14" s="3"/>
      <c r="L14" s="3"/>
    </row>
    <row r="15" spans="1:12">
      <c r="A15" s="6">
        <v>10</v>
      </c>
      <c r="B15" s="7" t="s">
        <v>88</v>
      </c>
      <c r="C15" s="7" t="s">
        <v>89</v>
      </c>
      <c r="D15" s="8" t="s">
        <v>90</v>
      </c>
      <c r="E15" s="9" t="s">
        <v>91</v>
      </c>
      <c r="F15" s="9" t="s">
        <v>92</v>
      </c>
      <c r="G15" s="3"/>
      <c r="H15" s="3"/>
      <c r="I15" s="3"/>
      <c r="J15" s="3"/>
      <c r="K15" s="3"/>
      <c r="L15" s="3"/>
    </row>
    <row r="16" spans="1:12">
      <c r="A16" s="6">
        <v>11</v>
      </c>
      <c r="B16" s="7" t="s">
        <v>93</v>
      </c>
      <c r="C16" s="7" t="s">
        <v>94</v>
      </c>
      <c r="D16" s="8" t="s">
        <v>95</v>
      </c>
      <c r="E16" s="9" t="s">
        <v>96</v>
      </c>
      <c r="F16" s="9" t="s">
        <v>97</v>
      </c>
      <c r="G16" s="3"/>
      <c r="H16" s="3"/>
      <c r="I16" s="3"/>
      <c r="J16" s="3"/>
      <c r="K16" s="3"/>
      <c r="L16" s="3"/>
    </row>
    <row r="17" spans="1:12">
      <c r="A17" s="6">
        <v>12</v>
      </c>
      <c r="B17" s="7" t="s">
        <v>98</v>
      </c>
      <c r="C17" s="7" t="s">
        <v>99</v>
      </c>
      <c r="D17" s="8" t="s">
        <v>100</v>
      </c>
      <c r="E17" s="9" t="s">
        <v>101</v>
      </c>
      <c r="F17" s="9" t="s">
        <v>102</v>
      </c>
      <c r="G17" s="3"/>
      <c r="H17" s="3"/>
      <c r="I17" s="3"/>
      <c r="J17" s="3"/>
      <c r="K17" s="3"/>
      <c r="L17" s="3"/>
    </row>
    <row r="18" spans="1:12">
      <c r="A18" s="6">
        <v>13</v>
      </c>
      <c r="B18" s="7" t="s">
        <v>103</v>
      </c>
      <c r="C18" s="7" t="s">
        <v>104</v>
      </c>
      <c r="D18" s="8" t="s">
        <v>105</v>
      </c>
      <c r="E18" s="9" t="s">
        <v>106</v>
      </c>
      <c r="F18" s="9" t="s">
        <v>107</v>
      </c>
      <c r="G18" s="3"/>
      <c r="H18" s="3"/>
      <c r="I18" s="3"/>
      <c r="J18" s="3"/>
      <c r="K18" s="3"/>
      <c r="L18" s="3"/>
    </row>
    <row r="19" spans="1:12">
      <c r="A19" s="6">
        <v>14</v>
      </c>
      <c r="B19" s="7" t="s">
        <v>108</v>
      </c>
      <c r="C19" s="7" t="s">
        <v>109</v>
      </c>
      <c r="D19" s="8" t="s">
        <v>110</v>
      </c>
      <c r="E19" s="9" t="s">
        <v>111</v>
      </c>
      <c r="F19" s="9" t="s">
        <v>112</v>
      </c>
      <c r="G19" s="3"/>
      <c r="H19" s="3"/>
      <c r="I19" s="3"/>
      <c r="J19" s="3"/>
      <c r="K19" s="3"/>
      <c r="L19" s="3"/>
    </row>
    <row r="20" spans="1:12">
      <c r="A20" s="6">
        <v>15</v>
      </c>
      <c r="B20" s="7" t="s">
        <v>113</v>
      </c>
      <c r="C20" s="7" t="s">
        <v>114</v>
      </c>
      <c r="D20" s="8" t="s">
        <v>115</v>
      </c>
      <c r="E20" s="9" t="s">
        <v>116</v>
      </c>
      <c r="F20" s="9" t="s">
        <v>117</v>
      </c>
      <c r="G20" s="3"/>
      <c r="H20" s="3"/>
      <c r="I20" s="3"/>
      <c r="J20" s="3"/>
      <c r="K20" s="3"/>
      <c r="L20" s="3"/>
    </row>
    <row r="21" spans="1:12">
      <c r="A21" s="6">
        <v>16</v>
      </c>
      <c r="B21" s="7" t="s">
        <v>118</v>
      </c>
      <c r="C21" s="7" t="s">
        <v>119</v>
      </c>
      <c r="D21" s="8" t="s">
        <v>120</v>
      </c>
      <c r="E21" s="9" t="s">
        <v>121</v>
      </c>
      <c r="F21" s="9" t="s">
        <v>122</v>
      </c>
      <c r="G21" s="3"/>
      <c r="H21" s="3"/>
      <c r="I21" s="3"/>
      <c r="J21" s="3"/>
      <c r="K21" s="3"/>
      <c r="L21" s="3"/>
    </row>
    <row r="22" spans="1:12">
      <c r="A22" s="6">
        <v>17</v>
      </c>
      <c r="B22" s="7" t="s">
        <v>123</v>
      </c>
      <c r="C22" s="7" t="s">
        <v>124</v>
      </c>
      <c r="D22" s="8" t="s">
        <v>125</v>
      </c>
      <c r="E22" s="9" t="s">
        <v>126</v>
      </c>
      <c r="F22" s="9" t="s">
        <v>127</v>
      </c>
      <c r="G22" s="3"/>
      <c r="H22" s="3"/>
      <c r="I22" s="3"/>
      <c r="J22" s="3"/>
      <c r="K22" s="3"/>
      <c r="L22" s="3"/>
    </row>
    <row r="23" spans="1:12">
      <c r="A23" s="6">
        <v>18</v>
      </c>
      <c r="B23" s="7" t="s">
        <v>128</v>
      </c>
      <c r="C23" s="7" t="s">
        <v>129</v>
      </c>
      <c r="D23" s="8" t="s">
        <v>130</v>
      </c>
      <c r="E23" s="9" t="s">
        <v>131</v>
      </c>
      <c r="F23" s="9" t="s">
        <v>132</v>
      </c>
      <c r="G23" s="3"/>
      <c r="H23" s="3"/>
      <c r="I23" s="3"/>
      <c r="J23" s="3"/>
      <c r="K23" s="3"/>
      <c r="L23" s="3"/>
    </row>
    <row r="24" spans="1:12">
      <c r="A24" s="6">
        <v>19</v>
      </c>
      <c r="B24" s="7" t="s">
        <v>133</v>
      </c>
      <c r="C24" s="7" t="s">
        <v>134</v>
      </c>
      <c r="D24" s="8" t="s">
        <v>135</v>
      </c>
      <c r="E24" s="9" t="s">
        <v>136</v>
      </c>
      <c r="F24" s="9" t="s">
        <v>137</v>
      </c>
      <c r="G24" s="3"/>
      <c r="H24" s="3"/>
      <c r="I24" s="3"/>
      <c r="J24" s="3"/>
      <c r="K24" s="3"/>
      <c r="L24" s="3"/>
    </row>
    <row r="25" spans="1:12">
      <c r="A25" s="6">
        <v>20</v>
      </c>
      <c r="B25" s="7" t="s">
        <v>138</v>
      </c>
      <c r="C25" s="7" t="s">
        <v>139</v>
      </c>
      <c r="D25" s="8" t="s">
        <v>140</v>
      </c>
      <c r="E25" s="9" t="s">
        <v>141</v>
      </c>
      <c r="F25" s="9" t="s">
        <v>142</v>
      </c>
      <c r="G25" s="3"/>
      <c r="H25" s="3"/>
      <c r="I25" s="3"/>
      <c r="J25" s="3"/>
      <c r="K25" s="3"/>
      <c r="L25" s="3"/>
    </row>
    <row r="26" spans="1:12">
      <c r="A26" s="6">
        <v>21</v>
      </c>
      <c r="B26" s="7" t="s">
        <v>143</v>
      </c>
      <c r="C26" s="7" t="s">
        <v>144</v>
      </c>
      <c r="D26" s="8" t="s">
        <v>145</v>
      </c>
      <c r="E26" s="9" t="s">
        <v>146</v>
      </c>
      <c r="F26" s="9" t="s">
        <v>147</v>
      </c>
      <c r="G26" s="3"/>
      <c r="H26" s="3"/>
      <c r="I26" s="3"/>
      <c r="J26" s="3"/>
      <c r="K26" s="3"/>
      <c r="L26" s="3"/>
    </row>
    <row r="27" spans="1:12">
      <c r="A27" s="6">
        <v>22</v>
      </c>
      <c r="B27" s="7" t="s">
        <v>148</v>
      </c>
      <c r="C27" s="7" t="s">
        <v>149</v>
      </c>
      <c r="D27" s="8" t="s">
        <v>150</v>
      </c>
      <c r="E27" s="9" t="s">
        <v>151</v>
      </c>
      <c r="F27" s="9" t="s">
        <v>152</v>
      </c>
      <c r="G27" s="3"/>
      <c r="H27" s="3"/>
      <c r="I27" s="3"/>
      <c r="J27" s="3"/>
      <c r="K27" s="3"/>
      <c r="L27" s="3"/>
    </row>
    <row r="28" spans="1:12">
      <c r="A28" s="6">
        <v>23</v>
      </c>
      <c r="B28" s="7" t="s">
        <v>153</v>
      </c>
      <c r="C28" s="7" t="s">
        <v>154</v>
      </c>
      <c r="D28" s="8" t="s">
        <v>155</v>
      </c>
      <c r="E28" s="9" t="s">
        <v>156</v>
      </c>
      <c r="F28" s="9" t="s">
        <v>157</v>
      </c>
      <c r="G28" s="3"/>
      <c r="H28" s="3"/>
      <c r="I28" s="3"/>
      <c r="J28" s="3"/>
      <c r="K28" s="3"/>
      <c r="L28" s="3"/>
    </row>
    <row r="29" spans="1:12">
      <c r="A29" s="6">
        <v>24</v>
      </c>
      <c r="B29" s="7" t="s">
        <v>158</v>
      </c>
      <c r="C29" s="7" t="s">
        <v>159</v>
      </c>
      <c r="D29" s="8" t="s">
        <v>160</v>
      </c>
      <c r="E29" s="9" t="s">
        <v>161</v>
      </c>
      <c r="F29" s="9" t="s">
        <v>162</v>
      </c>
      <c r="G29" s="3"/>
      <c r="H29" s="3"/>
      <c r="I29" s="3"/>
      <c r="J29" s="3"/>
      <c r="K29" s="3"/>
      <c r="L29" s="3"/>
    </row>
    <row r="30" spans="1:12">
      <c r="A30" s="6">
        <v>25</v>
      </c>
      <c r="B30" s="7" t="s">
        <v>163</v>
      </c>
      <c r="C30" s="7" t="s">
        <v>164</v>
      </c>
      <c r="D30" s="8" t="s">
        <v>165</v>
      </c>
      <c r="E30" s="9" t="s">
        <v>166</v>
      </c>
      <c r="F30" s="9" t="s">
        <v>167</v>
      </c>
      <c r="G30" s="3"/>
      <c r="H30" s="3"/>
      <c r="I30" s="3"/>
      <c r="J30" s="3"/>
      <c r="K30" s="3"/>
      <c r="L30" s="3"/>
    </row>
    <row r="31" spans="1:12">
      <c r="A31" s="6">
        <v>26</v>
      </c>
      <c r="B31" s="7" t="s">
        <v>168</v>
      </c>
      <c r="C31" s="7" t="s">
        <v>169</v>
      </c>
      <c r="D31" s="8" t="s">
        <v>170</v>
      </c>
      <c r="E31" s="9" t="s">
        <v>171</v>
      </c>
      <c r="F31" s="9" t="s">
        <v>172</v>
      </c>
      <c r="G31" s="3"/>
      <c r="H31" s="3"/>
      <c r="I31" s="3"/>
      <c r="J31" s="3"/>
      <c r="K31" s="3"/>
      <c r="L31" s="3"/>
    </row>
    <row r="32" spans="1:12">
      <c r="A32" s="6">
        <v>27</v>
      </c>
      <c r="B32" s="7" t="s">
        <v>173</v>
      </c>
      <c r="C32" s="7" t="s">
        <v>174</v>
      </c>
      <c r="D32" s="8" t="s">
        <v>175</v>
      </c>
      <c r="E32" s="9" t="s">
        <v>176</v>
      </c>
      <c r="F32" s="9" t="s">
        <v>177</v>
      </c>
      <c r="G32" s="3"/>
      <c r="H32" s="3"/>
      <c r="I32" s="3"/>
      <c r="J32" s="3"/>
      <c r="K32" s="3"/>
      <c r="L32" s="3"/>
    </row>
    <row r="33" spans="1:12">
      <c r="A33" s="6">
        <v>28</v>
      </c>
      <c r="B33" s="7" t="s">
        <v>178</v>
      </c>
      <c r="C33" s="7" t="s">
        <v>179</v>
      </c>
      <c r="D33" s="8" t="s">
        <v>180</v>
      </c>
      <c r="E33" s="9" t="s">
        <v>181</v>
      </c>
      <c r="F33" s="9" t="s">
        <v>182</v>
      </c>
      <c r="G33" s="3"/>
      <c r="H33" s="3"/>
      <c r="I33" s="3"/>
      <c r="J33" s="3"/>
      <c r="K33" s="3"/>
      <c r="L33" s="3"/>
    </row>
    <row r="34" spans="1:12">
      <c r="A34" s="6">
        <v>29</v>
      </c>
      <c r="B34" s="7" t="s">
        <v>183</v>
      </c>
      <c r="C34" s="7" t="s">
        <v>184</v>
      </c>
      <c r="D34" s="8" t="s">
        <v>185</v>
      </c>
      <c r="E34" s="9" t="s">
        <v>186</v>
      </c>
      <c r="F34" s="9" t="s">
        <v>187</v>
      </c>
      <c r="G34" s="3"/>
      <c r="H34" s="3"/>
      <c r="I34" s="3"/>
      <c r="J34" s="3"/>
      <c r="K34" s="3"/>
      <c r="L34" s="3"/>
    </row>
    <row r="35" spans="1:12">
      <c r="A35" s="6">
        <v>30</v>
      </c>
      <c r="B35" s="7" t="s">
        <v>188</v>
      </c>
      <c r="C35" s="7" t="s">
        <v>189</v>
      </c>
      <c r="D35" s="8" t="s">
        <v>190</v>
      </c>
      <c r="E35" s="9" t="s">
        <v>191</v>
      </c>
      <c r="F35" s="9" t="s">
        <v>192</v>
      </c>
      <c r="G35" s="3"/>
      <c r="H35" s="3"/>
      <c r="I35" s="3"/>
      <c r="J35" s="3"/>
      <c r="K35" s="3"/>
      <c r="L35" s="3"/>
    </row>
    <row r="36" spans="1:12">
      <c r="A36" s="6">
        <v>31</v>
      </c>
      <c r="B36" s="7" t="s">
        <v>193</v>
      </c>
      <c r="C36" s="7" t="s">
        <v>194</v>
      </c>
      <c r="D36" s="8" t="s">
        <v>195</v>
      </c>
      <c r="E36" s="9" t="s">
        <v>196</v>
      </c>
      <c r="F36" s="9" t="s">
        <v>197</v>
      </c>
      <c r="G36" s="3"/>
      <c r="H36" s="3"/>
      <c r="I36" s="3"/>
      <c r="J36" s="3"/>
      <c r="K36" s="3"/>
      <c r="L36" s="3"/>
    </row>
    <row r="37" spans="1:12">
      <c r="A37" s="6">
        <v>32</v>
      </c>
      <c r="B37" s="7" t="s">
        <v>198</v>
      </c>
      <c r="C37" s="7" t="s">
        <v>199</v>
      </c>
      <c r="D37" s="8" t="s">
        <v>200</v>
      </c>
      <c r="E37" s="9" t="s">
        <v>201</v>
      </c>
      <c r="F37" s="9" t="s">
        <v>202</v>
      </c>
      <c r="G37" s="3"/>
      <c r="H37" s="3"/>
      <c r="I37" s="3"/>
      <c r="J37" s="3"/>
      <c r="K37" s="3"/>
      <c r="L37" s="3"/>
    </row>
    <row r="38" spans="1:12">
      <c r="A38" s="6">
        <v>33</v>
      </c>
      <c r="B38" s="7" t="s">
        <v>203</v>
      </c>
      <c r="C38" s="7" t="s">
        <v>204</v>
      </c>
      <c r="D38" s="8" t="s">
        <v>205</v>
      </c>
      <c r="E38" s="9" t="s">
        <v>206</v>
      </c>
      <c r="F38" s="9" t="s">
        <v>207</v>
      </c>
      <c r="G38" s="3"/>
      <c r="H38" s="3"/>
      <c r="I38" s="3"/>
      <c r="J38" s="3"/>
      <c r="K38" s="3"/>
      <c r="L38" s="3"/>
    </row>
    <row r="39" spans="1:12">
      <c r="A39" s="6">
        <v>34</v>
      </c>
      <c r="B39" s="7" t="s">
        <v>208</v>
      </c>
      <c r="C39" s="7" t="s">
        <v>209</v>
      </c>
      <c r="D39" s="8" t="s">
        <v>210</v>
      </c>
      <c r="E39" s="9" t="s">
        <v>211</v>
      </c>
      <c r="F39" s="9" t="s">
        <v>212</v>
      </c>
      <c r="G39" s="3"/>
      <c r="H39" s="3"/>
      <c r="I39" s="3"/>
      <c r="J39" s="3"/>
      <c r="K39" s="3"/>
      <c r="L39" s="3"/>
    </row>
    <row r="40" spans="1:12">
      <c r="A40" s="6">
        <v>35</v>
      </c>
      <c r="B40" s="7" t="s">
        <v>213</v>
      </c>
      <c r="C40" s="7" t="s">
        <v>214</v>
      </c>
      <c r="D40" s="8" t="s">
        <v>215</v>
      </c>
      <c r="E40" s="9" t="s">
        <v>216</v>
      </c>
      <c r="F40" s="9" t="s">
        <v>217</v>
      </c>
      <c r="G40" s="3"/>
      <c r="H40" s="3"/>
      <c r="I40" s="3"/>
      <c r="J40" s="3"/>
      <c r="K40" s="3"/>
      <c r="L40" s="3"/>
    </row>
    <row r="41" spans="1:12">
      <c r="A41" s="6">
        <v>36</v>
      </c>
      <c r="B41" s="7" t="s">
        <v>218</v>
      </c>
      <c r="C41" s="7" t="s">
        <v>219</v>
      </c>
      <c r="D41" s="8" t="s">
        <v>220</v>
      </c>
      <c r="E41" s="9" t="s">
        <v>221</v>
      </c>
      <c r="F41" s="9" t="s">
        <v>222</v>
      </c>
      <c r="G41" s="3"/>
      <c r="H41" s="3"/>
      <c r="I41" s="3"/>
      <c r="J41" s="3"/>
      <c r="K41" s="3"/>
      <c r="L41" s="3"/>
    </row>
    <row r="42" spans="1:12">
      <c r="A42" s="6">
        <v>37</v>
      </c>
      <c r="B42" s="7" t="s">
        <v>223</v>
      </c>
      <c r="C42" s="7" t="s">
        <v>224</v>
      </c>
      <c r="D42" s="8" t="s">
        <v>225</v>
      </c>
      <c r="E42" s="9" t="s">
        <v>226</v>
      </c>
      <c r="F42" s="9" t="s">
        <v>227</v>
      </c>
      <c r="G42" s="3"/>
      <c r="H42" s="3"/>
      <c r="I42" s="3"/>
      <c r="J42" s="3"/>
      <c r="K42" s="3"/>
      <c r="L42" s="3"/>
    </row>
    <row r="43" spans="1:12">
      <c r="A43" s="6">
        <v>38</v>
      </c>
      <c r="B43" s="7" t="s">
        <v>228</v>
      </c>
      <c r="C43" s="7" t="s">
        <v>229</v>
      </c>
      <c r="D43" s="8" t="s">
        <v>230</v>
      </c>
      <c r="E43" s="9" t="s">
        <v>231</v>
      </c>
      <c r="F43" s="9" t="s">
        <v>232</v>
      </c>
      <c r="G43" s="3"/>
      <c r="H43" s="3"/>
      <c r="I43" s="3"/>
      <c r="J43" s="3"/>
      <c r="K43" s="3"/>
      <c r="L43" s="3"/>
    </row>
    <row r="44" spans="1:12">
      <c r="A44" s="6">
        <v>39</v>
      </c>
      <c r="B44" s="7" t="s">
        <v>233</v>
      </c>
      <c r="C44" s="7" t="s">
        <v>234</v>
      </c>
      <c r="D44" s="8" t="s">
        <v>235</v>
      </c>
      <c r="E44" s="9" t="s">
        <v>236</v>
      </c>
      <c r="F44" s="9" t="s">
        <v>237</v>
      </c>
      <c r="G44" s="3"/>
      <c r="H44" s="3"/>
      <c r="I44" s="3"/>
      <c r="J44" s="3"/>
      <c r="K44" s="3"/>
      <c r="L44" s="3"/>
    </row>
    <row r="45" spans="1:12">
      <c r="A45" s="6">
        <v>40</v>
      </c>
      <c r="B45" s="7" t="s">
        <v>238</v>
      </c>
      <c r="C45" s="7" t="s">
        <v>239</v>
      </c>
      <c r="D45" s="8" t="s">
        <v>240</v>
      </c>
      <c r="E45" s="9" t="s">
        <v>241</v>
      </c>
      <c r="F45" s="9" t="s">
        <v>242</v>
      </c>
      <c r="G45" s="3"/>
      <c r="H45" s="3"/>
      <c r="I45" s="3"/>
      <c r="J45" s="3"/>
      <c r="K45" s="3"/>
      <c r="L45" s="3"/>
    </row>
    <row r="46" spans="1:12">
      <c r="A46" s="6">
        <v>41</v>
      </c>
      <c r="B46" s="7" t="s">
        <v>243</v>
      </c>
      <c r="C46" s="7" t="s">
        <v>244</v>
      </c>
      <c r="D46" s="8" t="s">
        <v>245</v>
      </c>
      <c r="E46" s="9" t="s">
        <v>246</v>
      </c>
      <c r="F46" s="9" t="s">
        <v>247</v>
      </c>
      <c r="G46" s="3"/>
      <c r="H46" s="3"/>
      <c r="I46" s="3"/>
      <c r="J46" s="3"/>
      <c r="K46" s="3"/>
      <c r="L46" s="3"/>
    </row>
    <row r="47" spans="1:12">
      <c r="A47" s="6">
        <v>42</v>
      </c>
      <c r="B47" s="7" t="s">
        <v>248</v>
      </c>
      <c r="C47" s="7" t="s">
        <v>249</v>
      </c>
      <c r="D47" s="8" t="s">
        <v>250</v>
      </c>
      <c r="E47" s="9" t="s">
        <v>251</v>
      </c>
      <c r="F47" s="9" t="s">
        <v>252</v>
      </c>
      <c r="G47" s="3"/>
      <c r="H47" s="3"/>
      <c r="I47" s="3"/>
      <c r="J47" s="3"/>
      <c r="K47" s="3"/>
      <c r="L47" s="3"/>
    </row>
    <row r="48" spans="1:12">
      <c r="A48" s="6">
        <v>43</v>
      </c>
      <c r="B48" s="7" t="s">
        <v>253</v>
      </c>
      <c r="C48" s="7" t="s">
        <v>254</v>
      </c>
      <c r="D48" s="8" t="s">
        <v>255</v>
      </c>
      <c r="E48" s="9" t="s">
        <v>256</v>
      </c>
      <c r="F48" s="9" t="s">
        <v>257</v>
      </c>
      <c r="G48" s="3"/>
      <c r="H48" s="3"/>
      <c r="I48" s="3"/>
      <c r="J48" s="3"/>
      <c r="K48" s="3"/>
      <c r="L48" s="3"/>
    </row>
    <row r="49" spans="1:12">
      <c r="A49" s="6">
        <v>44</v>
      </c>
      <c r="B49" s="7" t="s">
        <v>258</v>
      </c>
      <c r="C49" s="7" t="s">
        <v>259</v>
      </c>
      <c r="D49" s="8" t="s">
        <v>260</v>
      </c>
      <c r="E49" s="9" t="s">
        <v>261</v>
      </c>
      <c r="F49" s="9" t="s">
        <v>262</v>
      </c>
      <c r="G49" s="3"/>
      <c r="H49" s="3"/>
      <c r="I49" s="3"/>
      <c r="J49" s="3"/>
      <c r="K49" s="3"/>
      <c r="L49" s="3"/>
    </row>
    <row r="50" spans="1:12">
      <c r="A50" s="6">
        <v>45</v>
      </c>
      <c r="B50" s="7" t="s">
        <v>263</v>
      </c>
      <c r="C50" s="7" t="s">
        <v>264</v>
      </c>
      <c r="D50" s="8" t="s">
        <v>265</v>
      </c>
      <c r="E50" s="9" t="s">
        <v>266</v>
      </c>
      <c r="F50" s="9" t="s">
        <v>267</v>
      </c>
      <c r="G50" s="3"/>
      <c r="H50" s="3"/>
      <c r="I50" s="3"/>
      <c r="J50" s="3"/>
      <c r="K50" s="3"/>
      <c r="L50" s="3"/>
    </row>
    <row r="51" spans="1:12">
      <c r="A51" s="6">
        <v>46</v>
      </c>
      <c r="B51" s="7" t="s">
        <v>268</v>
      </c>
      <c r="C51" s="7" t="s">
        <v>269</v>
      </c>
      <c r="D51" s="8" t="s">
        <v>270</v>
      </c>
      <c r="E51" s="9" t="s">
        <v>271</v>
      </c>
      <c r="F51" s="9" t="s">
        <v>272</v>
      </c>
      <c r="G51" s="3"/>
      <c r="H51" s="3"/>
      <c r="I51" s="3"/>
      <c r="J51" s="3"/>
      <c r="K51" s="3"/>
      <c r="L51" s="3"/>
    </row>
    <row r="52" spans="1:12">
      <c r="A52" s="6">
        <v>47</v>
      </c>
      <c r="B52" s="7" t="s">
        <v>273</v>
      </c>
      <c r="C52" s="7" t="s">
        <v>274</v>
      </c>
      <c r="D52" s="8" t="s">
        <v>275</v>
      </c>
      <c r="E52" s="9" t="s">
        <v>276</v>
      </c>
      <c r="F52" s="9" t="s">
        <v>277</v>
      </c>
      <c r="G52" s="3"/>
      <c r="H52" s="3"/>
      <c r="I52" s="3"/>
      <c r="J52" s="3"/>
      <c r="K52" s="3"/>
      <c r="L52" s="3"/>
    </row>
    <row r="53" spans="1:12">
      <c r="A53" s="6">
        <v>48</v>
      </c>
      <c r="B53" s="7" t="s">
        <v>278</v>
      </c>
      <c r="C53" s="7" t="s">
        <v>279</v>
      </c>
      <c r="D53" s="8" t="s">
        <v>280</v>
      </c>
      <c r="E53" s="9" t="s">
        <v>281</v>
      </c>
      <c r="F53" s="9" t="s">
        <v>282</v>
      </c>
      <c r="G53" s="3"/>
      <c r="H53" s="3"/>
      <c r="I53" s="3"/>
      <c r="J53" s="3"/>
      <c r="K53" s="3"/>
      <c r="L53" s="3"/>
    </row>
    <row r="54" spans="1:12">
      <c r="A54" s="6">
        <v>49</v>
      </c>
      <c r="B54" s="7" t="s">
        <v>283</v>
      </c>
      <c r="C54" s="7" t="s">
        <v>284</v>
      </c>
      <c r="D54" s="8" t="s">
        <v>285</v>
      </c>
      <c r="E54" s="9" t="s">
        <v>286</v>
      </c>
      <c r="F54" s="9" t="s">
        <v>287</v>
      </c>
      <c r="G54" s="3"/>
      <c r="H54" s="3"/>
      <c r="I54" s="3"/>
      <c r="J54" s="3"/>
      <c r="K54" s="3"/>
      <c r="L54" s="3"/>
    </row>
    <row r="55" spans="1:12">
      <c r="A55" s="6">
        <v>50</v>
      </c>
      <c r="B55" s="7" t="s">
        <v>288</v>
      </c>
      <c r="C55" s="7" t="s">
        <v>289</v>
      </c>
      <c r="D55" s="8" t="s">
        <v>290</v>
      </c>
      <c r="E55" s="9" t="s">
        <v>291</v>
      </c>
      <c r="F55" s="9" t="s">
        <v>292</v>
      </c>
      <c r="G55" s="3"/>
      <c r="H55" s="3"/>
      <c r="I55" s="3"/>
      <c r="J55" s="3"/>
      <c r="K55" s="3"/>
      <c r="L55" s="3"/>
    </row>
    <row r="56" spans="1:12">
      <c r="A56" s="6">
        <v>51</v>
      </c>
      <c r="B56" s="7" t="s">
        <v>293</v>
      </c>
      <c r="C56" s="7" t="s">
        <v>294</v>
      </c>
      <c r="D56" s="8" t="s">
        <v>295</v>
      </c>
      <c r="E56" s="9" t="s">
        <v>296</v>
      </c>
      <c r="F56" s="9" t="s">
        <v>297</v>
      </c>
      <c r="G56" s="3"/>
      <c r="H56" s="3"/>
      <c r="I56" s="3"/>
      <c r="J56" s="3"/>
      <c r="K56" s="3"/>
      <c r="L56" s="3"/>
    </row>
    <row r="57" spans="1:12">
      <c r="A57" s="6">
        <v>52</v>
      </c>
      <c r="B57" s="7" t="s">
        <v>298</v>
      </c>
      <c r="C57" s="7" t="s">
        <v>299</v>
      </c>
      <c r="D57" s="8" t="s">
        <v>300</v>
      </c>
      <c r="E57" s="9" t="s">
        <v>301</v>
      </c>
      <c r="F57" s="9" t="s">
        <v>302</v>
      </c>
      <c r="G57" s="3"/>
      <c r="H57" s="3"/>
      <c r="I57" s="3"/>
      <c r="J57" s="3"/>
      <c r="K57" s="3"/>
      <c r="L57" s="3"/>
    </row>
    <row r="58" spans="1:12">
      <c r="A58" s="6">
        <v>53</v>
      </c>
      <c r="B58" s="7" t="s">
        <v>303</v>
      </c>
      <c r="C58" s="7" t="s">
        <v>304</v>
      </c>
      <c r="D58" s="8" t="s">
        <v>305</v>
      </c>
      <c r="E58" s="9" t="s">
        <v>306</v>
      </c>
      <c r="F58" s="9" t="s">
        <v>307</v>
      </c>
      <c r="G58" s="3"/>
      <c r="H58" s="3"/>
      <c r="I58" s="3"/>
      <c r="J58" s="3"/>
      <c r="K58" s="3"/>
      <c r="L58" s="3"/>
    </row>
    <row r="59" spans="1:12">
      <c r="A59" s="6">
        <v>54</v>
      </c>
      <c r="B59" s="7" t="s">
        <v>308</v>
      </c>
      <c r="C59" s="7" t="s">
        <v>309</v>
      </c>
      <c r="D59" s="8" t="s">
        <v>310</v>
      </c>
      <c r="E59" s="9" t="s">
        <v>311</v>
      </c>
      <c r="F59" s="9" t="s">
        <v>312</v>
      </c>
      <c r="G59" s="3"/>
      <c r="H59" s="3"/>
      <c r="I59" s="3"/>
      <c r="J59" s="3"/>
      <c r="K59" s="3"/>
      <c r="L59" s="3"/>
    </row>
    <row r="60" spans="1:12">
      <c r="A60" s="6">
        <v>55</v>
      </c>
      <c r="B60" s="7" t="s">
        <v>313</v>
      </c>
      <c r="C60" s="7" t="s">
        <v>314</v>
      </c>
      <c r="D60" s="8" t="s">
        <v>315</v>
      </c>
      <c r="E60" s="9" t="s">
        <v>316</v>
      </c>
      <c r="F60" s="9" t="s">
        <v>317</v>
      </c>
      <c r="G60" s="3"/>
      <c r="H60" s="3"/>
      <c r="I60" s="3"/>
      <c r="J60" s="3"/>
      <c r="K60" s="3"/>
      <c r="L60" s="3"/>
    </row>
    <row r="61" spans="1:12">
      <c r="A61" s="6">
        <v>56</v>
      </c>
      <c r="B61" s="7" t="s">
        <v>318</v>
      </c>
      <c r="C61" s="7" t="s">
        <v>319</v>
      </c>
      <c r="D61" s="8" t="s">
        <v>320</v>
      </c>
      <c r="E61" s="9" t="s">
        <v>321</v>
      </c>
      <c r="F61" s="9" t="s">
        <v>322</v>
      </c>
      <c r="G61" s="3"/>
      <c r="H61" s="3"/>
      <c r="I61" s="3"/>
      <c r="J61" s="3"/>
      <c r="K61" s="3"/>
      <c r="L61" s="3"/>
    </row>
    <row r="62" spans="1:12">
      <c r="A62" s="6">
        <v>57</v>
      </c>
      <c r="B62" s="7" t="s">
        <v>323</v>
      </c>
      <c r="C62" s="7" t="s">
        <v>324</v>
      </c>
      <c r="D62" s="8" t="s">
        <v>325</v>
      </c>
      <c r="E62" s="9" t="s">
        <v>326</v>
      </c>
      <c r="F62" s="9" t="s">
        <v>327</v>
      </c>
      <c r="G62" s="3"/>
      <c r="H62" s="3"/>
      <c r="I62" s="3"/>
      <c r="J62" s="3"/>
      <c r="K62" s="3"/>
      <c r="L62" s="3"/>
    </row>
    <row r="63" spans="1:12">
      <c r="A63" s="6">
        <v>58</v>
      </c>
      <c r="B63" s="7" t="s">
        <v>328</v>
      </c>
      <c r="C63" s="7" t="s">
        <v>329</v>
      </c>
      <c r="D63" s="8" t="s">
        <v>330</v>
      </c>
      <c r="E63" s="9" t="s">
        <v>331</v>
      </c>
      <c r="F63" s="9" t="s">
        <v>332</v>
      </c>
      <c r="G63" s="3"/>
      <c r="H63" s="3"/>
      <c r="I63" s="3"/>
      <c r="J63" s="3"/>
      <c r="K63" s="3"/>
      <c r="L63" s="3"/>
    </row>
    <row r="64" spans="1:12">
      <c r="A64" s="6">
        <v>59</v>
      </c>
      <c r="B64" s="7" t="s">
        <v>333</v>
      </c>
      <c r="C64" s="7" t="s">
        <v>334</v>
      </c>
      <c r="D64" s="8" t="s">
        <v>335</v>
      </c>
      <c r="E64" s="9" t="s">
        <v>336</v>
      </c>
      <c r="F64" s="9" t="s">
        <v>337</v>
      </c>
      <c r="G64" s="3"/>
      <c r="H64" s="3"/>
      <c r="I64" s="3"/>
      <c r="J64" s="3"/>
      <c r="K64" s="3"/>
      <c r="L64" s="3"/>
    </row>
    <row r="65" spans="1:12">
      <c r="A65" s="6">
        <v>60</v>
      </c>
      <c r="B65" s="7" t="s">
        <v>338</v>
      </c>
      <c r="C65" s="7" t="s">
        <v>339</v>
      </c>
      <c r="D65" s="8" t="s">
        <v>340</v>
      </c>
      <c r="E65" s="9" t="s">
        <v>341</v>
      </c>
      <c r="F65" s="9" t="s">
        <v>342</v>
      </c>
      <c r="G65" s="3"/>
      <c r="H65" s="3"/>
      <c r="I65" s="3"/>
      <c r="J65" s="3"/>
      <c r="K65" s="3"/>
      <c r="L65" s="3"/>
    </row>
    <row r="66" spans="1:12">
      <c r="A66" s="6">
        <v>61</v>
      </c>
      <c r="B66" s="7" t="s">
        <v>343</v>
      </c>
      <c r="C66" s="7" t="s">
        <v>344</v>
      </c>
      <c r="D66" s="8" t="s">
        <v>345</v>
      </c>
      <c r="E66" s="9" t="s">
        <v>346</v>
      </c>
      <c r="F66" s="9" t="s">
        <v>347</v>
      </c>
      <c r="G66" s="3"/>
      <c r="H66" s="3"/>
      <c r="I66" s="3"/>
      <c r="J66" s="3"/>
      <c r="K66" s="3"/>
      <c r="L66" s="3"/>
    </row>
    <row r="67" spans="1:12">
      <c r="A67" s="6">
        <v>62</v>
      </c>
      <c r="B67" s="7" t="s">
        <v>348</v>
      </c>
      <c r="C67" s="7" t="s">
        <v>349</v>
      </c>
      <c r="D67" s="8" t="s">
        <v>350</v>
      </c>
      <c r="E67" s="9" t="s">
        <v>351</v>
      </c>
      <c r="F67" s="9" t="s">
        <v>352</v>
      </c>
      <c r="G67" s="3"/>
      <c r="H67" s="3"/>
      <c r="I67" s="3"/>
      <c r="J67" s="3"/>
      <c r="K67" s="3"/>
      <c r="L67" s="3"/>
    </row>
    <row r="68" spans="1:12">
      <c r="A68" s="6">
        <v>63</v>
      </c>
      <c r="B68" s="7" t="s">
        <v>353</v>
      </c>
      <c r="C68" s="7" t="s">
        <v>354</v>
      </c>
      <c r="D68" s="8" t="s">
        <v>355</v>
      </c>
      <c r="E68" s="9" t="s">
        <v>356</v>
      </c>
      <c r="F68" s="9" t="s">
        <v>357</v>
      </c>
      <c r="G68" s="3"/>
      <c r="H68" s="3"/>
      <c r="I68" s="3"/>
      <c r="J68" s="3"/>
      <c r="K68" s="3"/>
      <c r="L68" s="3"/>
    </row>
    <row r="69" spans="1:12">
      <c r="A69" s="6">
        <v>64</v>
      </c>
      <c r="B69" s="7" t="s">
        <v>358</v>
      </c>
      <c r="C69" s="7" t="s">
        <v>359</v>
      </c>
      <c r="D69" s="8" t="s">
        <v>360</v>
      </c>
      <c r="E69" s="9" t="s">
        <v>361</v>
      </c>
      <c r="F69" s="9" t="s">
        <v>362</v>
      </c>
      <c r="G69" s="3"/>
      <c r="H69" s="3"/>
      <c r="I69" s="3"/>
      <c r="J69" s="3"/>
      <c r="K69" s="3"/>
      <c r="L69" s="3"/>
    </row>
    <row r="70" spans="1:12">
      <c r="A70" s="6">
        <v>65</v>
      </c>
      <c r="B70" s="7" t="s">
        <v>363</v>
      </c>
      <c r="C70" s="7" t="s">
        <v>364</v>
      </c>
      <c r="D70" s="8" t="s">
        <v>365</v>
      </c>
      <c r="E70" s="9" t="s">
        <v>366</v>
      </c>
      <c r="F70" s="9" t="s">
        <v>367</v>
      </c>
      <c r="G70" s="3"/>
      <c r="H70" s="3"/>
      <c r="I70" s="3"/>
      <c r="J70" s="3"/>
      <c r="K70" s="3"/>
      <c r="L70" s="3"/>
    </row>
    <row r="71" spans="1:12">
      <c r="A71" s="6">
        <v>66</v>
      </c>
      <c r="B71" s="7" t="s">
        <v>368</v>
      </c>
      <c r="C71" s="7" t="s">
        <v>369</v>
      </c>
      <c r="D71" s="8" t="s">
        <v>370</v>
      </c>
      <c r="E71" s="9" t="s">
        <v>371</v>
      </c>
      <c r="F71" s="9" t="s">
        <v>372</v>
      </c>
      <c r="G71" s="3"/>
      <c r="H71" s="3"/>
      <c r="I71" s="3"/>
      <c r="J71" s="3"/>
      <c r="K71" s="3"/>
      <c r="L71" s="3"/>
    </row>
    <row r="72" spans="1:12">
      <c r="A72" s="6">
        <v>67</v>
      </c>
      <c r="B72" s="7" t="s">
        <v>373</v>
      </c>
      <c r="C72" s="7" t="s">
        <v>374</v>
      </c>
      <c r="D72" s="8" t="s">
        <v>375</v>
      </c>
      <c r="E72" s="9" t="s">
        <v>376</v>
      </c>
      <c r="F72" s="9" t="s">
        <v>377</v>
      </c>
      <c r="G72" s="3"/>
      <c r="H72" s="3"/>
      <c r="I72" s="3"/>
      <c r="J72" s="3"/>
      <c r="K72" s="3"/>
      <c r="L72" s="3"/>
    </row>
    <row r="73" spans="1:12">
      <c r="A73" s="6">
        <v>68</v>
      </c>
      <c r="B73" s="7" t="s">
        <v>378</v>
      </c>
      <c r="C73" s="7" t="s">
        <v>379</v>
      </c>
      <c r="D73" s="8" t="s">
        <v>380</v>
      </c>
      <c r="E73" s="9" t="s">
        <v>381</v>
      </c>
      <c r="F73" s="9" t="s">
        <v>382</v>
      </c>
      <c r="G73" s="3"/>
      <c r="H73" s="3"/>
      <c r="I73" s="3"/>
      <c r="J73" s="3"/>
      <c r="K73" s="3"/>
      <c r="L73" s="3"/>
    </row>
    <row r="74" spans="1:12">
      <c r="A74" s="6">
        <v>69</v>
      </c>
      <c r="B74" s="7" t="s">
        <v>383</v>
      </c>
      <c r="C74" s="7" t="s">
        <v>384</v>
      </c>
      <c r="D74" s="8" t="s">
        <v>385</v>
      </c>
      <c r="E74" s="9" t="s">
        <v>386</v>
      </c>
      <c r="F74" s="9" t="s">
        <v>387</v>
      </c>
      <c r="G74" s="3"/>
      <c r="H74" s="3"/>
      <c r="I74" s="3"/>
      <c r="J74" s="3"/>
      <c r="K74" s="3"/>
      <c r="L74" s="3"/>
    </row>
    <row r="75" spans="1:12">
      <c r="A75" s="6">
        <v>70</v>
      </c>
      <c r="B75" s="7" t="s">
        <v>388</v>
      </c>
      <c r="C75" s="7" t="s">
        <v>389</v>
      </c>
      <c r="D75" s="8" t="s">
        <v>390</v>
      </c>
      <c r="E75" s="9" t="s">
        <v>391</v>
      </c>
      <c r="F75" s="9" t="s">
        <v>392</v>
      </c>
      <c r="G75" s="3"/>
      <c r="H75" s="3"/>
      <c r="I75" s="3"/>
      <c r="J75" s="3"/>
      <c r="K75" s="3"/>
      <c r="L75" s="3"/>
    </row>
    <row r="76" spans="1:12">
      <c r="A76" s="6">
        <v>71</v>
      </c>
      <c r="B76" s="7" t="s">
        <v>393</v>
      </c>
      <c r="C76" s="7" t="s">
        <v>394</v>
      </c>
      <c r="D76" s="8" t="s">
        <v>395</v>
      </c>
      <c r="E76" s="9" t="s">
        <v>396</v>
      </c>
      <c r="F76" s="9" t="s">
        <v>397</v>
      </c>
      <c r="G76" s="3"/>
      <c r="H76" s="3"/>
      <c r="I76" s="3"/>
      <c r="J76" s="3"/>
      <c r="K76" s="3"/>
      <c r="L76" s="3"/>
    </row>
    <row r="77" spans="1:12">
      <c r="A77" s="6">
        <v>72</v>
      </c>
      <c r="B77" s="7" t="s">
        <v>398</v>
      </c>
      <c r="C77" s="7" t="s">
        <v>399</v>
      </c>
      <c r="D77" s="8" t="s">
        <v>400</v>
      </c>
      <c r="E77" s="9" t="s">
        <v>401</v>
      </c>
      <c r="F77" s="9" t="s">
        <v>402</v>
      </c>
      <c r="G77" s="3"/>
      <c r="H77" s="3"/>
      <c r="I77" s="3"/>
      <c r="J77" s="3"/>
      <c r="K77" s="3"/>
      <c r="L77" s="3"/>
    </row>
    <row r="78" spans="1:12">
      <c r="A78" s="6">
        <v>73</v>
      </c>
      <c r="B78" s="7" t="s">
        <v>403</v>
      </c>
      <c r="C78" s="7" t="s">
        <v>404</v>
      </c>
      <c r="D78" s="8" t="s">
        <v>405</v>
      </c>
      <c r="E78" s="9" t="s">
        <v>406</v>
      </c>
      <c r="F78" s="9" t="s">
        <v>407</v>
      </c>
      <c r="G78" s="3"/>
      <c r="H78" s="3"/>
      <c r="I78" s="3"/>
      <c r="J78" s="3"/>
      <c r="K78" s="3"/>
      <c r="L78" s="3"/>
    </row>
    <row r="79" spans="1:12">
      <c r="A79" s="6">
        <v>74</v>
      </c>
      <c r="B79" s="7" t="s">
        <v>408</v>
      </c>
      <c r="C79" s="7" t="s">
        <v>409</v>
      </c>
      <c r="D79" s="8" t="s">
        <v>410</v>
      </c>
      <c r="E79" s="9" t="s">
        <v>411</v>
      </c>
      <c r="F79" s="9" t="s">
        <v>412</v>
      </c>
      <c r="G79" s="3"/>
      <c r="H79" s="3"/>
      <c r="I79" s="3"/>
      <c r="J79" s="3"/>
      <c r="K79" s="3"/>
      <c r="L79" s="3"/>
    </row>
    <row r="80" spans="1:12">
      <c r="A80" s="6">
        <v>75</v>
      </c>
      <c r="B80" s="7" t="s">
        <v>413</v>
      </c>
      <c r="C80" s="7" t="s">
        <v>414</v>
      </c>
      <c r="D80" s="8" t="s">
        <v>415</v>
      </c>
      <c r="E80" s="9" t="s">
        <v>416</v>
      </c>
      <c r="F80" s="9" t="s">
        <v>417</v>
      </c>
      <c r="G80" s="3"/>
      <c r="H80" s="3"/>
      <c r="I80" s="3"/>
      <c r="J80" s="3"/>
      <c r="K80" s="3"/>
      <c r="L80" s="3"/>
    </row>
    <row r="81" spans="1:12">
      <c r="A81" s="6">
        <v>76</v>
      </c>
      <c r="B81" s="7" t="s">
        <v>418</v>
      </c>
      <c r="C81" s="7" t="s">
        <v>419</v>
      </c>
      <c r="D81" s="8" t="s">
        <v>420</v>
      </c>
      <c r="E81" s="9" t="s">
        <v>421</v>
      </c>
      <c r="F81" s="9" t="s">
        <v>422</v>
      </c>
      <c r="G81" s="3"/>
      <c r="H81" s="3"/>
      <c r="I81" s="3"/>
      <c r="J81" s="3"/>
      <c r="K81" s="3"/>
      <c r="L81" s="3"/>
    </row>
    <row r="82" spans="1:12">
      <c r="A82" s="6">
        <v>77</v>
      </c>
      <c r="B82" s="7" t="s">
        <v>423</v>
      </c>
      <c r="C82" s="7" t="s">
        <v>424</v>
      </c>
      <c r="D82" s="8" t="s">
        <v>425</v>
      </c>
      <c r="E82" s="9" t="s">
        <v>426</v>
      </c>
      <c r="F82" s="9" t="s">
        <v>427</v>
      </c>
      <c r="G82" s="3"/>
      <c r="H82" s="3"/>
      <c r="I82" s="3"/>
      <c r="J82" s="3"/>
      <c r="K82" s="3"/>
      <c r="L82" s="3"/>
    </row>
    <row r="83" spans="1:12">
      <c r="A83" s="6">
        <v>78</v>
      </c>
      <c r="B83" s="7" t="s">
        <v>428</v>
      </c>
      <c r="C83" s="7" t="s">
        <v>429</v>
      </c>
      <c r="D83" s="8" t="s">
        <v>430</v>
      </c>
      <c r="E83" s="9" t="s">
        <v>431</v>
      </c>
      <c r="F83" s="9" t="s">
        <v>432</v>
      </c>
      <c r="G83" s="3"/>
      <c r="H83" s="3"/>
      <c r="I83" s="3"/>
      <c r="J83" s="3"/>
      <c r="K83" s="3"/>
      <c r="L83" s="3"/>
    </row>
    <row r="84" spans="1:12">
      <c r="A84" s="6">
        <v>79</v>
      </c>
      <c r="B84" s="7" t="s">
        <v>433</v>
      </c>
      <c r="C84" s="7" t="s">
        <v>434</v>
      </c>
      <c r="D84" s="8" t="s">
        <v>435</v>
      </c>
      <c r="E84" s="9" t="s">
        <v>436</v>
      </c>
      <c r="F84" s="9" t="s">
        <v>437</v>
      </c>
      <c r="G84" s="3"/>
      <c r="H84" s="3"/>
      <c r="I84" s="3"/>
      <c r="J84" s="3"/>
      <c r="K84" s="3"/>
      <c r="L84" s="3"/>
    </row>
    <row r="85" spans="1:12">
      <c r="A85" s="6">
        <v>80</v>
      </c>
      <c r="B85" s="7" t="s">
        <v>438</v>
      </c>
      <c r="C85" s="7" t="s">
        <v>439</v>
      </c>
      <c r="D85" s="8" t="s">
        <v>440</v>
      </c>
      <c r="E85" s="9" t="s">
        <v>441</v>
      </c>
      <c r="F85" s="9" t="s">
        <v>442</v>
      </c>
      <c r="G85" s="3"/>
      <c r="H85" s="3"/>
      <c r="I85" s="3"/>
      <c r="J85" s="3"/>
      <c r="K85" s="3"/>
      <c r="L85" s="3"/>
    </row>
    <row r="86" spans="1:12">
      <c r="A86" s="6">
        <v>81</v>
      </c>
      <c r="B86" s="7" t="s">
        <v>443</v>
      </c>
      <c r="C86" s="7" t="s">
        <v>444</v>
      </c>
      <c r="D86" s="8" t="s">
        <v>445</v>
      </c>
      <c r="E86" s="9" t="s">
        <v>446</v>
      </c>
      <c r="F86" s="9" t="s">
        <v>447</v>
      </c>
      <c r="G86" s="3"/>
      <c r="H86" s="3"/>
      <c r="I86" s="3"/>
      <c r="J86" s="3"/>
      <c r="K86" s="3"/>
      <c r="L86" s="3"/>
    </row>
    <row r="87" spans="1:12">
      <c r="A87" s="6">
        <v>82</v>
      </c>
      <c r="B87" s="7" t="s">
        <v>448</v>
      </c>
      <c r="C87" s="7" t="s">
        <v>449</v>
      </c>
      <c r="D87" s="8" t="s">
        <v>450</v>
      </c>
      <c r="E87" s="9" t="s">
        <v>451</v>
      </c>
      <c r="F87" s="9" t="s">
        <v>452</v>
      </c>
      <c r="G87" s="3"/>
      <c r="H87" s="3"/>
      <c r="I87" s="3"/>
      <c r="J87" s="3"/>
      <c r="K87" s="3"/>
      <c r="L87" s="3"/>
    </row>
    <row r="88" spans="1:12">
      <c r="A88" s="6">
        <v>83</v>
      </c>
      <c r="B88" s="7" t="s">
        <v>453</v>
      </c>
      <c r="C88" s="7" t="s">
        <v>454</v>
      </c>
      <c r="D88" s="8" t="s">
        <v>455</v>
      </c>
      <c r="E88" s="9" t="s">
        <v>456</v>
      </c>
      <c r="F88" s="9" t="s">
        <v>457</v>
      </c>
      <c r="G88" s="3"/>
      <c r="H88" s="3"/>
      <c r="I88" s="3"/>
      <c r="J88" s="3"/>
      <c r="K88" s="3"/>
      <c r="L88" s="3"/>
    </row>
    <row r="89" spans="1:12">
      <c r="A89" s="6">
        <v>84</v>
      </c>
      <c r="B89" s="7" t="s">
        <v>458</v>
      </c>
      <c r="C89" s="7" t="s">
        <v>459</v>
      </c>
      <c r="D89" s="8" t="s">
        <v>460</v>
      </c>
      <c r="E89" s="9" t="s">
        <v>461</v>
      </c>
      <c r="F89" s="9" t="s">
        <v>462</v>
      </c>
      <c r="G89" s="3"/>
      <c r="H89" s="3"/>
      <c r="I89" s="3"/>
      <c r="J89" s="3"/>
      <c r="K89" s="3"/>
      <c r="L89" s="3"/>
    </row>
    <row r="90" spans="1:12">
      <c r="A90" s="6">
        <v>85</v>
      </c>
      <c r="B90" s="7" t="s">
        <v>463</v>
      </c>
      <c r="C90" s="7" t="s">
        <v>464</v>
      </c>
      <c r="D90" s="8" t="s">
        <v>465</v>
      </c>
      <c r="E90" s="9" t="s">
        <v>466</v>
      </c>
      <c r="F90" s="9" t="s">
        <v>467</v>
      </c>
      <c r="G90" s="3"/>
      <c r="H90" s="3"/>
      <c r="I90" s="3"/>
      <c r="J90" s="3"/>
      <c r="K90" s="3"/>
      <c r="L90" s="3"/>
    </row>
    <row r="91" spans="1:12">
      <c r="A91" s="6">
        <v>86</v>
      </c>
      <c r="B91" s="7" t="s">
        <v>468</v>
      </c>
      <c r="C91" s="7" t="s">
        <v>469</v>
      </c>
      <c r="D91" s="8" t="s">
        <v>470</v>
      </c>
      <c r="E91" s="9" t="s">
        <v>471</v>
      </c>
      <c r="F91" s="9" t="s">
        <v>472</v>
      </c>
      <c r="G91" s="3"/>
      <c r="H91" s="3"/>
      <c r="I91" s="3"/>
      <c r="J91" s="3"/>
      <c r="K91" s="3"/>
      <c r="L91" s="3"/>
    </row>
    <row r="92" spans="1:12">
      <c r="A92" s="6">
        <v>87</v>
      </c>
      <c r="B92" s="7" t="s">
        <v>473</v>
      </c>
      <c r="C92" s="7" t="s">
        <v>474</v>
      </c>
      <c r="D92" s="8" t="s">
        <v>475</v>
      </c>
      <c r="E92" s="9" t="s">
        <v>476</v>
      </c>
      <c r="F92" s="9" t="s">
        <v>477</v>
      </c>
      <c r="G92" s="3"/>
      <c r="H92" s="3"/>
      <c r="I92" s="3"/>
      <c r="J92" s="3"/>
      <c r="K92" s="3"/>
      <c r="L92" s="3"/>
    </row>
    <row r="93" spans="1:12">
      <c r="A93" s="6">
        <v>88</v>
      </c>
      <c r="B93" s="7" t="s">
        <v>478</v>
      </c>
      <c r="C93" s="7" t="s">
        <v>479</v>
      </c>
      <c r="D93" s="8" t="s">
        <v>480</v>
      </c>
      <c r="E93" s="9" t="s">
        <v>481</v>
      </c>
      <c r="F93" s="9" t="s">
        <v>482</v>
      </c>
      <c r="G93" s="3"/>
      <c r="H93" s="3"/>
      <c r="I93" s="3"/>
      <c r="J93" s="3"/>
      <c r="K93" s="3"/>
      <c r="L93" s="3"/>
    </row>
    <row r="94" spans="1:12">
      <c r="A94" s="6">
        <v>89</v>
      </c>
      <c r="B94" s="7" t="s">
        <v>483</v>
      </c>
      <c r="C94" s="7" t="s">
        <v>484</v>
      </c>
      <c r="D94" s="8" t="s">
        <v>485</v>
      </c>
      <c r="E94" s="9" t="s">
        <v>486</v>
      </c>
      <c r="F94" s="9" t="s">
        <v>487</v>
      </c>
      <c r="G94" s="3"/>
      <c r="H94" s="3"/>
      <c r="I94" s="3"/>
      <c r="J94" s="3"/>
      <c r="K94" s="3"/>
      <c r="L94" s="3"/>
    </row>
    <row r="95" spans="1:12">
      <c r="A95" s="11">
        <v>90</v>
      </c>
      <c r="B95" s="8" t="s">
        <v>488</v>
      </c>
      <c r="C95" s="7" t="s">
        <v>489</v>
      </c>
      <c r="D95" s="8" t="s">
        <v>490</v>
      </c>
      <c r="E95" s="9" t="s">
        <v>491</v>
      </c>
      <c r="F95" s="9" t="s">
        <v>492</v>
      </c>
      <c r="G95" s="3"/>
      <c r="H95" s="3"/>
      <c r="I95" s="3"/>
      <c r="J95" s="3"/>
      <c r="K95" s="3"/>
      <c r="L95" s="3"/>
    </row>
    <row r="96" spans="1:12">
      <c r="A96" s="11">
        <v>91</v>
      </c>
      <c r="B96" s="8" t="s">
        <v>493</v>
      </c>
      <c r="C96" s="7" t="s">
        <v>494</v>
      </c>
      <c r="D96" s="8" t="s">
        <v>495</v>
      </c>
      <c r="E96" s="9" t="s">
        <v>496</v>
      </c>
      <c r="F96" s="9" t="s">
        <v>497</v>
      </c>
      <c r="G96" s="3"/>
      <c r="H96" s="3"/>
      <c r="I96" s="3"/>
      <c r="J96" s="3"/>
      <c r="K96" s="3"/>
      <c r="L96" s="3"/>
    </row>
    <row r="97" spans="1:12">
      <c r="A97" s="11">
        <v>92</v>
      </c>
      <c r="B97" s="8" t="s">
        <v>498</v>
      </c>
      <c r="C97" s="7" t="s">
        <v>499</v>
      </c>
      <c r="D97" s="8" t="s">
        <v>500</v>
      </c>
      <c r="E97" s="9" t="s">
        <v>501</v>
      </c>
      <c r="F97" s="9" t="s">
        <v>502</v>
      </c>
      <c r="G97" s="3"/>
      <c r="H97" s="3"/>
      <c r="I97" s="3"/>
      <c r="J97" s="3"/>
      <c r="K97" s="3"/>
      <c r="L97" s="3"/>
    </row>
    <row r="98" spans="1:12">
      <c r="A98" s="11">
        <v>93</v>
      </c>
      <c r="B98" s="8" t="s">
        <v>503</v>
      </c>
      <c r="C98" s="7" t="s">
        <v>504</v>
      </c>
      <c r="D98" s="8" t="s">
        <v>505</v>
      </c>
      <c r="E98" s="9" t="s">
        <v>506</v>
      </c>
      <c r="F98" s="9" t="s">
        <v>507</v>
      </c>
      <c r="G98" s="3"/>
      <c r="H98" s="3"/>
      <c r="I98" s="3"/>
      <c r="J98" s="3"/>
      <c r="K98" s="3"/>
      <c r="L98" s="3"/>
    </row>
    <row r="99" spans="1:12">
      <c r="A99" s="11">
        <v>94</v>
      </c>
      <c r="B99" s="8" t="s">
        <v>508</v>
      </c>
      <c r="C99" s="7" t="s">
        <v>509</v>
      </c>
      <c r="D99" s="8" t="s">
        <v>510</v>
      </c>
      <c r="E99" s="9" t="s">
        <v>511</v>
      </c>
      <c r="F99" s="9" t="s">
        <v>512</v>
      </c>
      <c r="G99" s="3"/>
      <c r="H99" s="3"/>
      <c r="I99" s="3"/>
      <c r="J99" s="3"/>
      <c r="K99" s="3"/>
      <c r="L99" s="3"/>
    </row>
    <row r="100" spans="1:12">
      <c r="A100" s="11">
        <v>95</v>
      </c>
      <c r="B100" s="8" t="s">
        <v>513</v>
      </c>
      <c r="C100" s="7" t="s">
        <v>514</v>
      </c>
      <c r="D100" s="8" t="s">
        <v>515</v>
      </c>
      <c r="E100" s="9" t="s">
        <v>516</v>
      </c>
      <c r="F100" s="9" t="s">
        <v>517</v>
      </c>
      <c r="G100" s="3"/>
      <c r="H100" s="3"/>
      <c r="I100" s="3"/>
      <c r="J100" s="3"/>
      <c r="K100" s="3"/>
      <c r="L100" s="3"/>
    </row>
    <row r="101" spans="1:12">
      <c r="A101" s="11">
        <v>96</v>
      </c>
      <c r="B101" s="8" t="s">
        <v>518</v>
      </c>
      <c r="C101" s="7" t="s">
        <v>519</v>
      </c>
      <c r="D101" s="8" t="s">
        <v>520</v>
      </c>
      <c r="E101" s="9" t="s">
        <v>521</v>
      </c>
      <c r="F101" s="9" t="s">
        <v>522</v>
      </c>
      <c r="G101" s="3"/>
      <c r="H101" s="3"/>
      <c r="I101" s="3"/>
      <c r="J101" s="3"/>
      <c r="K101" s="3"/>
      <c r="L101" s="3"/>
    </row>
    <row r="102" spans="1:12">
      <c r="A102" s="11">
        <v>97</v>
      </c>
      <c r="B102" s="8" t="s">
        <v>523</v>
      </c>
      <c r="C102" s="7" t="s">
        <v>524</v>
      </c>
      <c r="D102" s="8" t="s">
        <v>525</v>
      </c>
      <c r="E102" s="9" t="s">
        <v>526</v>
      </c>
      <c r="F102" s="9" t="s">
        <v>527</v>
      </c>
      <c r="G102" s="3"/>
      <c r="H102" s="3"/>
      <c r="I102" s="3"/>
      <c r="J102" s="3"/>
      <c r="K102" s="3"/>
      <c r="L102" s="3"/>
    </row>
    <row r="103" spans="1:12">
      <c r="A103" s="11">
        <v>98</v>
      </c>
      <c r="B103" s="8" t="s">
        <v>528</v>
      </c>
      <c r="C103" s="7" t="s">
        <v>529</v>
      </c>
      <c r="D103" s="8" t="s">
        <v>530</v>
      </c>
      <c r="E103" s="9" t="s">
        <v>531</v>
      </c>
      <c r="F103" s="9" t="s">
        <v>532</v>
      </c>
      <c r="G103" s="3"/>
      <c r="H103" s="3"/>
      <c r="I103" s="3"/>
      <c r="J103" s="3"/>
      <c r="K103" s="3"/>
      <c r="L103" s="3"/>
    </row>
    <row r="104" spans="1:12">
      <c r="A104" s="12">
        <v>99</v>
      </c>
      <c r="B104" s="13" t="s">
        <v>533</v>
      </c>
      <c r="C104" s="14" t="s">
        <v>534</v>
      </c>
      <c r="D104" s="13" t="s">
        <v>535</v>
      </c>
      <c r="E104" s="15" t="s">
        <v>536</v>
      </c>
      <c r="F104" s="15" t="s">
        <v>537</v>
      </c>
      <c r="G104" s="3"/>
      <c r="H104" s="3"/>
      <c r="I104" s="3"/>
      <c r="J104" s="3"/>
      <c r="K104" s="3"/>
      <c r="L104" s="3"/>
    </row>
    <row r="105" spans="1:12">
      <c r="A105" s="16"/>
      <c r="B105" s="3"/>
      <c r="C105" s="3"/>
      <c r="D105" s="3"/>
      <c r="E105" s="3"/>
      <c r="F105" s="3"/>
      <c r="G105" s="3"/>
      <c r="H105" s="3"/>
      <c r="I105" s="3"/>
      <c r="J105" s="3"/>
      <c r="K105" s="3"/>
      <c r="L105" s="3"/>
    </row>
    <row r="106" spans="1:12">
      <c r="A106" s="17" t="s">
        <v>5</v>
      </c>
      <c r="B106" s="18"/>
      <c r="C106" s="19"/>
      <c r="D106" s="19"/>
      <c r="E106" s="20" t="e">
        <f>+F1</f>
        <v>#REF!</v>
      </c>
      <c r="F106" s="3"/>
      <c r="G106" s="3"/>
      <c r="H106" s="3"/>
      <c r="I106" s="3"/>
      <c r="J106" s="3"/>
      <c r="K106" s="3"/>
      <c r="L106" s="3"/>
    </row>
    <row r="107" spans="1:12">
      <c r="A107" s="17" t="s">
        <v>538</v>
      </c>
      <c r="B107" s="7"/>
      <c r="C107" s="3"/>
      <c r="D107" s="3"/>
      <c r="E107" s="21" t="e">
        <f>TEXT(E106*100,"00000000000")</f>
        <v>#REF!</v>
      </c>
      <c r="F107" s="3"/>
      <c r="G107" s="3"/>
      <c r="H107" s="3"/>
      <c r="I107" s="3"/>
      <c r="J107" s="3"/>
      <c r="K107" s="3"/>
      <c r="L107" s="3"/>
    </row>
    <row r="108" spans="1:12">
      <c r="A108" s="17" t="s">
        <v>539</v>
      </c>
      <c r="B108" s="302" t="e">
        <f>UPPER(CONCATENATE("US DOLLARS",C112,C113,C114,C115,C116,C117,C118,C120,"Only."))</f>
        <v>#REF!</v>
      </c>
      <c r="C108" s="303"/>
      <c r="D108" s="303"/>
      <c r="E108" s="303"/>
      <c r="F108" s="303"/>
      <c r="G108" s="303"/>
      <c r="H108" s="303"/>
      <c r="I108" s="303"/>
      <c r="J108" s="303"/>
      <c r="K108" s="303"/>
      <c r="L108" s="303"/>
    </row>
    <row r="109" spans="1:12">
      <c r="A109" s="16"/>
      <c r="B109" s="3"/>
      <c r="C109" s="3"/>
      <c r="D109" s="3"/>
      <c r="E109" s="3"/>
      <c r="F109" s="3"/>
      <c r="G109" s="3"/>
      <c r="H109" s="3"/>
      <c r="I109" s="3"/>
      <c r="J109" s="3"/>
      <c r="K109" s="3"/>
      <c r="L109" s="3"/>
    </row>
    <row r="110" spans="1:12">
      <c r="A110" s="22" t="s">
        <v>540</v>
      </c>
      <c r="B110" s="23"/>
      <c r="C110" s="23"/>
      <c r="D110" s="23"/>
      <c r="E110" s="23"/>
      <c r="F110" s="3"/>
      <c r="G110" s="3"/>
      <c r="H110" s="3"/>
      <c r="I110" s="3"/>
      <c r="J110" s="3"/>
      <c r="K110" s="3"/>
      <c r="L110" s="3"/>
    </row>
    <row r="111" spans="1:12">
      <c r="A111" s="16"/>
      <c r="B111" s="3"/>
      <c r="C111" s="3"/>
      <c r="D111" s="3"/>
      <c r="E111" s="3"/>
      <c r="F111" s="3"/>
      <c r="G111" s="3"/>
      <c r="H111" s="3"/>
      <c r="I111" s="3"/>
      <c r="J111" s="3"/>
      <c r="K111" s="3"/>
      <c r="L111" s="3"/>
    </row>
    <row r="112" spans="1:12">
      <c r="A112" s="16" t="s">
        <v>541</v>
      </c>
      <c r="B112" s="3" t="e">
        <f>VALUE(LEFT(E107,3))</f>
        <v>#REF!</v>
      </c>
      <c r="C112" s="3" t="e">
        <f>VLOOKUP(B112,A4:F104,5,FALSE)</f>
        <v>#REF!</v>
      </c>
      <c r="D112" s="3"/>
      <c r="E112" s="3"/>
      <c r="F112" s="3"/>
      <c r="G112" s="3"/>
      <c r="H112" s="3"/>
      <c r="I112" s="3"/>
      <c r="J112" s="3"/>
      <c r="K112" s="3"/>
      <c r="L112" s="3"/>
    </row>
    <row r="113" spans="1:12" ht="36">
      <c r="A113" s="24" t="s">
        <v>542</v>
      </c>
      <c r="B113" s="3" t="e">
        <f>VALUE(MID(E107,4,1))</f>
        <v>#REF!</v>
      </c>
      <c r="C113" s="3" t="e">
        <f>VLOOKUP(B113,A4:E104,3,FALSE)</f>
        <v>#REF!</v>
      </c>
      <c r="D113" s="3"/>
      <c r="E113" s="3"/>
      <c r="F113" s="3"/>
      <c r="G113" s="3"/>
      <c r="H113" s="3"/>
      <c r="I113" s="3"/>
      <c r="J113" s="3"/>
      <c r="K113" s="3"/>
      <c r="L113" s="3"/>
    </row>
    <row r="114" spans="1:12">
      <c r="A114" s="16" t="s">
        <v>543</v>
      </c>
      <c r="B114" s="3" t="e">
        <f>VALUE(MID(E107,5,2))</f>
        <v>#REF!</v>
      </c>
      <c r="C114" s="3" t="e">
        <f>IF(B114&gt;0,VLOOKUP(B114,A4:E104,4,FALSE),IF(B113&gt;0,"Thousand ",""))</f>
        <v>#REF!</v>
      </c>
      <c r="D114" s="3"/>
      <c r="E114" s="3"/>
      <c r="F114" s="3"/>
      <c r="G114" s="3"/>
      <c r="H114" s="3"/>
      <c r="I114" s="3"/>
      <c r="J114" s="3"/>
      <c r="K114" s="3"/>
      <c r="L114" s="3"/>
    </row>
    <row r="115" spans="1:12">
      <c r="A115" s="16"/>
      <c r="B115" s="3"/>
      <c r="C115" s="3" t="e">
        <f>IF(B114+B113&lt;1,"",IF(B118+B120&gt;0,"",IF(B116&gt;0,"And ","")))</f>
        <v>#REF!</v>
      </c>
      <c r="D115" s="3"/>
      <c r="E115" s="3"/>
      <c r="F115" s="3"/>
      <c r="G115" s="3"/>
      <c r="H115" s="3"/>
      <c r="I115" s="3"/>
      <c r="J115" s="3"/>
      <c r="K115" s="3"/>
      <c r="L115" s="3"/>
    </row>
    <row r="116" spans="1:12">
      <c r="A116" s="16" t="s">
        <v>544</v>
      </c>
      <c r="B116" s="3" t="e">
        <f>VALUE(MID(E107,7,1))</f>
        <v>#REF!</v>
      </c>
      <c r="C116" s="3" t="e">
        <f>IF(B116&lt;1,"",VLOOKUP(B116,A4:E104,3,FALSE))</f>
        <v>#REF!</v>
      </c>
      <c r="D116" s="3"/>
      <c r="E116" s="3"/>
      <c r="F116" s="3"/>
      <c r="G116" s="3"/>
      <c r="H116" s="3"/>
      <c r="I116" s="3"/>
      <c r="J116" s="3"/>
      <c r="K116" s="3"/>
      <c r="L116" s="3"/>
    </row>
    <row r="117" spans="1:12">
      <c r="A117" s="16"/>
      <c r="B117" s="3"/>
      <c r="C117" s="3" t="e">
        <f>IF(B120&gt;0,"",IF(B118&lt;1,"",IF(B113+B114+B116=0,"","And ")))</f>
        <v>#REF!</v>
      </c>
      <c r="D117" s="3"/>
      <c r="E117" s="3"/>
      <c r="F117" s="3"/>
      <c r="G117" s="3"/>
      <c r="H117" s="3"/>
      <c r="I117" s="3"/>
      <c r="J117" s="3"/>
      <c r="K117" s="3"/>
      <c r="L117" s="3"/>
    </row>
    <row r="118" spans="1:12">
      <c r="A118" s="16" t="s">
        <v>545</v>
      </c>
      <c r="B118" s="3" t="e">
        <f>VALUE(MID(E107,8,2))</f>
        <v>#REF!</v>
      </c>
      <c r="C118" s="3" t="e">
        <f>IF(B118&lt;1,"",VLOOKUP(B118,A4:$E104,2,FALSE))</f>
        <v>#REF!</v>
      </c>
      <c r="D118" s="3"/>
      <c r="E118" s="3"/>
      <c r="F118" s="3"/>
      <c r="G118" s="3"/>
      <c r="H118" s="3"/>
      <c r="I118" s="3"/>
      <c r="J118" s="3"/>
      <c r="K118" s="3"/>
      <c r="L118" s="3"/>
    </row>
    <row r="119" spans="1:12">
      <c r="A119" s="16"/>
      <c r="B119" s="3"/>
      <c r="D119" s="3"/>
      <c r="E119" s="3"/>
      <c r="F119" s="3"/>
      <c r="G119" s="3"/>
      <c r="H119" s="3"/>
      <c r="I119" s="3"/>
      <c r="J119" s="3"/>
      <c r="K119" s="3"/>
      <c r="L119" s="3"/>
    </row>
    <row r="120" spans="1:12">
      <c r="A120" s="16" t="s">
        <v>546</v>
      </c>
      <c r="B120" s="3" t="e">
        <f>VALUE(RIGHT(E107,2))</f>
        <v>#REF!</v>
      </c>
      <c r="C120" s="3" t="e">
        <f>IF(B120&lt;1,"",VLOOKUP(B120,A4:F104,6,FALSE))</f>
        <v>#REF!</v>
      </c>
      <c r="D120" s="3"/>
      <c r="E120" s="3"/>
      <c r="F120" s="3"/>
      <c r="G120" s="3"/>
      <c r="H120" s="3"/>
      <c r="I120" s="3"/>
      <c r="J120" s="3"/>
      <c r="K120" s="3"/>
      <c r="L120" s="3"/>
    </row>
    <row r="121" spans="1:12">
      <c r="A121" s="16"/>
      <c r="B121" s="4" t="s">
        <v>547</v>
      </c>
      <c r="C121" s="3"/>
      <c r="D121" s="3"/>
      <c r="E121" s="3"/>
      <c r="F121" s="3"/>
      <c r="G121" s="3"/>
      <c r="H121" s="3"/>
      <c r="I121" s="3"/>
      <c r="J121" s="3"/>
      <c r="K121" s="3"/>
      <c r="L121" s="3"/>
    </row>
    <row r="122" spans="1:12">
      <c r="A122" s="16"/>
      <c r="B122" s="3"/>
      <c r="C122" s="3"/>
      <c r="D122" s="3"/>
      <c r="E122" s="3"/>
      <c r="F122" s="3"/>
      <c r="G122" s="3"/>
      <c r="H122" s="3"/>
      <c r="I122" s="3"/>
      <c r="J122" s="3"/>
      <c r="K122" s="3"/>
      <c r="L122" s="3"/>
    </row>
    <row r="123" spans="1:12">
      <c r="A123" s="16"/>
      <c r="B123" s="3"/>
      <c r="C123" s="3"/>
      <c r="D123" s="3"/>
      <c r="E123" s="3"/>
      <c r="F123" s="3"/>
      <c r="G123" s="3"/>
      <c r="H123" s="3"/>
      <c r="I123" s="3"/>
      <c r="J123" s="3"/>
      <c r="K123" s="3"/>
      <c r="L123" s="3"/>
    </row>
    <row r="124" spans="1:12">
      <c r="A124" s="3"/>
      <c r="B124" s="3"/>
      <c r="C124" s="3"/>
      <c r="D124" s="3"/>
      <c r="E124" s="3"/>
      <c r="F124" s="3"/>
      <c r="G124" s="3"/>
      <c r="H124" s="3"/>
      <c r="I124" s="3"/>
      <c r="J124" s="3"/>
      <c r="K124" s="16"/>
      <c r="L124" s="25"/>
    </row>
  </sheetData>
  <mergeCells count="3">
    <mergeCell ref="F1:G1"/>
    <mergeCell ref="A3:F3"/>
    <mergeCell ref="B108:L108"/>
  </mergeCells>
  <pageMargins left="0.75" right="0.75" top="0.6" bottom="0.56999999999999995" header="0.5" footer="0.5"/>
  <pageSetup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8FA2E29562E0B41A822DA9B47831403" ma:contentTypeVersion="18" ma:contentTypeDescription="Create a new document." ma:contentTypeScope="" ma:versionID="8bc4f4cf1231daaeff733bd549da54db">
  <xsd:schema xmlns:xsd="http://www.w3.org/2001/XMLSchema" xmlns:xs="http://www.w3.org/2001/XMLSchema" xmlns:p="http://schemas.microsoft.com/office/2006/metadata/properties" xmlns:ns2="589b2727-808d-4c19-8047-dc218fa874fe" xmlns:ns3="27c60f23-515e-4a83-9fc9-a64d574f8de2" targetNamespace="http://schemas.microsoft.com/office/2006/metadata/properties" ma:root="true" ma:fieldsID="ee0b632f8d88a1aba17a53e06ff84692" ns2:_="" ns3:_="">
    <xsd:import namespace="589b2727-808d-4c19-8047-dc218fa874fe"/>
    <xsd:import namespace="27c60f23-515e-4a83-9fc9-a64d574f8de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9b2727-808d-4c19-8047-dc218fa874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205da1d-a6ac-45d0-9e9b-2b7e659b363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7c60f23-515e-4a83-9fc9-a64d574f8de2"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27335c41-3ef4-4595-885d-9064591933e1}" ma:internalName="TaxCatchAll" ma:showField="CatchAllData" ma:web="27c60f23-515e-4a83-9fc9-a64d574f8d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89b2727-808d-4c19-8047-dc218fa874fe">
      <Terms xmlns="http://schemas.microsoft.com/office/infopath/2007/PartnerControls"/>
    </lcf76f155ced4ddcb4097134ff3c332f>
    <TaxCatchAll xmlns="27c60f23-515e-4a83-9fc9-a64d574f8de2"/>
  </documentManagement>
</p:properties>
</file>

<file path=customXml/itemProps1.xml><?xml version="1.0" encoding="utf-8"?>
<ds:datastoreItem xmlns:ds="http://schemas.openxmlformats.org/officeDocument/2006/customXml" ds:itemID="{F6F2FB76-8AF0-4B81-BAD7-EB6F4B15A5F2}">
  <ds:schemaRefs>
    <ds:schemaRef ds:uri="http://schemas.microsoft.com/sharepoint/v3/contenttype/forms"/>
  </ds:schemaRefs>
</ds:datastoreItem>
</file>

<file path=customXml/itemProps2.xml><?xml version="1.0" encoding="utf-8"?>
<ds:datastoreItem xmlns:ds="http://schemas.openxmlformats.org/officeDocument/2006/customXml" ds:itemID="{AADD4D4C-19F8-4105-9735-4E349E4498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9b2727-808d-4c19-8047-dc218fa874fe"/>
    <ds:schemaRef ds:uri="27c60f23-515e-4a83-9fc9-a64d574f8d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BFF5A86-8D8E-4D2F-974B-50D824A05CC1}">
  <ds:schemaRefs>
    <ds:schemaRef ds:uri="http://schemas.microsoft.com/office/2006/metadata/properties"/>
    <ds:schemaRef ds:uri="http://schemas.microsoft.com/office/infopath/2007/PartnerControls"/>
    <ds:schemaRef ds:uri="589b2727-808d-4c19-8047-dc218fa874fe"/>
    <ds:schemaRef ds:uri="27c60f23-515e-4a83-9fc9-a64d574f8de2"/>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8</vt:i4>
      </vt:variant>
    </vt:vector>
  </HeadingPairs>
  <TitlesOfParts>
    <vt:vector size="18" baseType="lpstr">
      <vt:lpstr>Invoice proposed format A</vt:lpstr>
      <vt:lpstr>Packing List proposed format A</vt:lpstr>
      <vt:lpstr>Packing List proposed format A2</vt:lpstr>
      <vt:lpstr>Invoice proposed format B</vt:lpstr>
      <vt:lpstr>Packing List proposed format B</vt:lpstr>
      <vt:lpstr>Invoice</vt:lpstr>
      <vt:lpstr>Packing List</vt:lpstr>
      <vt:lpstr>VGM</vt:lpstr>
      <vt:lpstr>Draft</vt:lpstr>
      <vt:lpstr>CIF</vt:lpstr>
      <vt:lpstr>Invoice!Print_Area</vt:lpstr>
      <vt:lpstr>'Invoice proposed format A'!Print_Area</vt:lpstr>
      <vt:lpstr>'Invoice proposed format B'!Print_Area</vt:lpstr>
      <vt:lpstr>'Packing List'!Print_Area</vt:lpstr>
      <vt:lpstr>'Packing List proposed format A'!Print_Area</vt:lpstr>
      <vt:lpstr>'Packing List proposed format A2'!Print_Area</vt:lpstr>
      <vt:lpstr>'Packing List proposed format B'!Print_Area</vt:lpstr>
      <vt:lpstr>VGM!Print_Area</vt:lpstr>
    </vt:vector>
  </TitlesOfParts>
  <Company>echo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noor</dc:creator>
  <cp:lastModifiedBy>Mamun</cp:lastModifiedBy>
  <cp:lastPrinted>2026-04-08T09:28:28Z</cp:lastPrinted>
  <dcterms:created xsi:type="dcterms:W3CDTF">2005-08-21T08:36:20Z</dcterms:created>
  <dcterms:modified xsi:type="dcterms:W3CDTF">2026-05-20T14:06:14Z</dcterms:modified>
</cp:coreProperties>
</file>